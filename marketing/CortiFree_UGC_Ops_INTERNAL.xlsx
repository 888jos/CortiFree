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rategy" sheetId="1" state="visible" r:id="rId1"/>
    <sheet xmlns:r="http://schemas.openxmlformats.org/officeDocument/2006/relationships" name="01 Submissions" sheetId="2" state="visible" r:id="rId2"/>
    <sheet xmlns:r="http://schemas.openxmlformats.org/officeDocument/2006/relationships" name="02 Script scoreboard" sheetId="3" state="visible" r:id="rId3"/>
    <sheet xmlns:r="http://schemas.openxmlformats.org/officeDocument/2006/relationships" name="03 Angle scoreboard" sheetId="4" state="visible" r:id="rId4"/>
    <sheet xmlns:r="http://schemas.openxmlformats.org/officeDocument/2006/relationships" name="04 Budget" sheetId="5" state="visible" r:id="rId5"/>
    <sheet xmlns:r="http://schemas.openxmlformats.org/officeDocument/2006/relationships" name="05 Drive 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F1B3A"/>
      <sz val="18"/>
    </font>
    <font>
      <b val="1"/>
      <color rgb="00FFFFFF"/>
      <sz val="13"/>
    </font>
    <font>
      <b val="1"/>
      <color rgb="008A3B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6C4CF1"/>
      </patternFill>
    </fill>
    <fill>
      <patternFill patternType="solid">
        <fgColor rgb="00FFF1E6"/>
      </patternFill>
    </fill>
    <fill>
      <patternFill patternType="solid">
        <fgColor rgb="001F1B3A"/>
      </patternFill>
    </fill>
  </fills>
  <borders count="2">
    <border>
      <left/>
      <right/>
      <top/>
      <bottom/>
      <diagonal/>
    </border>
    <border>
      <left style="thin">
        <color rgb="00D9D4F5"/>
      </left>
      <right style="thin">
        <color rgb="00D9D4F5"/>
      </right>
      <top style="thin">
        <color rgb="00D9D4F5"/>
      </top>
      <bottom style="thin">
        <color rgb="00D9D4F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164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4CF1"/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CortiFree UGC: internal plan (never share)</t>
        </is>
      </c>
    </row>
    <row r="2" ht="22" customHeight="1">
      <c r="A2" s="2" t="inlineStr">
        <is>
          <t>Target &amp; promise</t>
        </is>
      </c>
    </row>
    <row r="3">
      <c r="A3" s="3" t="inlineStr">
        <is>
          <t>Women 22–50 with the budget for a ~€60/yr app. Main promise: stress less / lower cortisol. Sub-promises = the 8 angles (cortisol face &amp; belly, therapist + iPhone test, ChatGPT → Milo, mental load, 3am brain, big moments / speaking up, high-functioning anxiety, 66-day proof).</t>
        </is>
      </c>
    </row>
    <row r="4" ht="22" customHeight="1">
      <c r="A4" s="2" t="inlineStr">
        <is>
          <t>Content Rewards settings</t>
        </is>
      </c>
    </row>
    <row r="5">
      <c r="A5" s="3" t="inlineStr">
        <is>
          <t>• Face-to-camera only. Rate $1.00 CPM at launch → $1.50 if not enough volume after 1 week.</t>
        </is>
      </c>
    </row>
    <row r="6">
      <c r="A6" s="3" t="inlineStr">
        <is>
          <t>• Minimum 5,000 views to be paid. Cap $300 / video at the start.</t>
        </is>
      </c>
    </row>
    <row r="7">
      <c r="A7" s="3" t="inlineStr">
        <is>
          <t>• Top-countries screenshot required &gt; 100k views; refuse if &lt; 50% US/UK/CA/AU.</t>
        </is>
      </c>
    </row>
    <row r="8">
      <c r="A8" s="3" t="inlineStr">
        <is>
          <t>• Approval checks: app shown in action, #ad, no health/body result claims, no fake credentials.</t>
        </is>
      </c>
    </row>
    <row r="9" ht="22" customHeight="1">
      <c r="A9" s="2" t="inlineStr">
        <is>
          <t>How to read the results</t>
        </is>
      </c>
    </row>
    <row r="10">
      <c r="A10" s="3" t="inlineStr">
        <is>
          <t>Score by ANGLE first (tab 03), then by script. After 2 weeks: double the rate or pin the 2 best angles in the campaign, drop the 2 worst.</t>
        </is>
      </c>
    </row>
    <row r="11">
      <c r="A11" s="3" t="inlineStr">
        <is>
          <t>Guess to validate: C (ChatGPT) and B (therapist + iPhone) are the most original = biggest viral upside; A (cortisol face) rides the trend = easiest views; D (mental load) and G (high-functioning anxiety) should convert best on 28–50 women.</t>
        </is>
      </c>
    </row>
    <row r="12" ht="22" customHeight="1">
      <c r="A12" s="2" t="inlineStr">
        <is>
          <t>Before launch</t>
        </is>
      </c>
    </row>
    <row r="13">
      <c r="A13" s="4" t="inlineStr">
        <is>
          <t>Ship the version with 'Bring your story to Milo' first: angles B and C depend on it.</t>
        </is>
      </c>
    </row>
    <row r="14">
      <c r="A14" s="4" t="inlineStr">
        <is>
          <t>Remove or source the in-app claims ('-23% cortisol in 3 weeks', '44% according to Harvard studies').</t>
        </is>
      </c>
    </row>
    <row r="15">
      <c r="A15" s="3" t="inlineStr">
        <is>
          <t>Record R01–R14 (Creator Kit tab 07) in English on a clean account.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4CF1"/>
    <outlinePr summaryBelow="1" summaryRight="1"/>
    <pageSetUpPr/>
  </sheetPr>
  <dimension ref="A1:S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32" customWidth="1" min="4" max="4"/>
    <col width="9" customWidth="1" min="5" max="5"/>
    <col width="22" customWidth="1" min="6" max="6"/>
    <col width="8" customWidth="1" min="7" max="7"/>
    <col width="9" customWidth="1" min="8" max="8"/>
    <col width="8" customWidth="1" min="9" max="9"/>
    <col width="9" customWidth="1" min="10" max="10"/>
    <col width="11" customWidth="1" min="11" max="11"/>
    <col width="11" customWidth="1" min="12" max="12"/>
    <col width="10" customWidth="1" min="13" max="13"/>
    <col width="8" customWidth="1" min="14" max="14"/>
    <col width="8" customWidth="1" min="15" max="15"/>
    <col width="10" customWidth="1" min="16" max="16"/>
    <col width="7" customWidth="1" min="17" max="17"/>
    <col width="9" customWidth="1" min="18" max="18"/>
    <col width="30" customWidth="1" min="19" max="19"/>
  </cols>
  <sheetData>
    <row r="1" ht="32" customHeight="1">
      <c r="A1" s="5" t="inlineStr">
        <is>
          <t>Date</t>
        </is>
      </c>
      <c r="B1" s="5" t="inlineStr">
        <is>
          <t>Creator handle</t>
        </is>
      </c>
      <c r="C1" s="5" t="inlineStr">
        <is>
          <t>Platform</t>
        </is>
      </c>
      <c r="D1" s="5" t="inlineStr">
        <is>
          <t>Video URL</t>
        </is>
      </c>
      <c r="E1" s="5" t="inlineStr">
        <is>
          <t>Script ID</t>
        </is>
      </c>
      <c r="F1" s="5" t="inlineStr">
        <is>
          <t>Angle</t>
        </is>
      </c>
      <c r="G1" s="5" t="inlineStr">
        <is>
          <t>Hook #</t>
        </is>
      </c>
      <c r="H1" s="5" t="inlineStr">
        <is>
          <t>Shows app? (Y/N)</t>
        </is>
      </c>
      <c r="I1" s="5" t="inlineStr">
        <is>
          <t>#ad? (Y/N)</t>
        </is>
      </c>
      <c r="J1" s="5" t="inlineStr">
        <is>
          <t>Claims OK? (Y/N)</t>
        </is>
      </c>
      <c r="K1" s="5" t="inlineStr">
        <is>
          <t>Status</t>
        </is>
      </c>
      <c r="L1" s="5" t="inlineStr">
        <is>
          <t>Views</t>
        </is>
      </c>
      <c r="M1" s="5" t="inlineStr">
        <is>
          <t>Top-country %</t>
        </is>
      </c>
      <c r="N1" s="5" t="inlineStr">
        <is>
          <t>CPM ($)</t>
        </is>
      </c>
      <c r="O1" s="5" t="inlineStr">
        <is>
          <t>Cap ($)</t>
        </is>
      </c>
      <c r="P1" s="5" t="inlineStr">
        <is>
          <t>Payout ($)</t>
        </is>
      </c>
      <c r="Q1" s="5" t="inlineStr">
        <is>
          <t>Paid?</t>
        </is>
      </c>
      <c r="R1" s="5" t="inlineStr">
        <is>
          <t>Spark Ad?</t>
        </is>
      </c>
      <c r="S1" s="5" t="inlineStr">
        <is>
          <t>Notes</t>
        </is>
      </c>
    </row>
    <row r="2">
      <c r="F2">
        <f>IFERROR(VLOOKUP(LEFT(E2,1),'03 Angle scoreboard'!A:B,2,FALSE),"")</f>
        <v/>
      </c>
      <c r="N2" t="n">
        <v>1</v>
      </c>
      <c r="O2" t="n">
        <v>300</v>
      </c>
      <c r="P2" s="6">
        <f>IF(AND(K2="Approved",L2&gt;=5000),MIN(O2,L2/1000*N2),0)</f>
        <v/>
      </c>
    </row>
    <row r="3">
      <c r="F3">
        <f>IFERROR(VLOOKUP(LEFT(E3,1),'03 Angle scoreboard'!A:B,2,FALSE),"")</f>
        <v/>
      </c>
      <c r="N3" t="n">
        <v>1</v>
      </c>
      <c r="O3" t="n">
        <v>300</v>
      </c>
      <c r="P3" s="6">
        <f>IF(AND(K3="Approved",L3&gt;=5000),MIN(O3,L3/1000*N3),0)</f>
        <v/>
      </c>
    </row>
    <row r="4">
      <c r="F4">
        <f>IFERROR(VLOOKUP(LEFT(E4,1),'03 Angle scoreboard'!A:B,2,FALSE),"")</f>
        <v/>
      </c>
      <c r="N4" t="n">
        <v>1</v>
      </c>
      <c r="O4" t="n">
        <v>300</v>
      </c>
      <c r="P4" s="6">
        <f>IF(AND(K4="Approved",L4&gt;=5000),MIN(O4,L4/1000*N4),0)</f>
        <v/>
      </c>
    </row>
    <row r="5">
      <c r="F5">
        <f>IFERROR(VLOOKUP(LEFT(E5,1),'03 Angle scoreboard'!A:B,2,FALSE),"")</f>
        <v/>
      </c>
      <c r="N5" t="n">
        <v>1</v>
      </c>
      <c r="O5" t="n">
        <v>300</v>
      </c>
      <c r="P5" s="6">
        <f>IF(AND(K5="Approved",L5&gt;=5000),MIN(O5,L5/1000*N5),0)</f>
        <v/>
      </c>
    </row>
    <row r="6">
      <c r="F6">
        <f>IFERROR(VLOOKUP(LEFT(E6,1),'03 Angle scoreboard'!A:B,2,FALSE),"")</f>
        <v/>
      </c>
      <c r="N6" t="n">
        <v>1</v>
      </c>
      <c r="O6" t="n">
        <v>300</v>
      </c>
      <c r="P6" s="6">
        <f>IF(AND(K6="Approved",L6&gt;=5000),MIN(O6,L6/1000*N6),0)</f>
        <v/>
      </c>
    </row>
    <row r="7">
      <c r="F7">
        <f>IFERROR(VLOOKUP(LEFT(E7,1),'03 Angle scoreboard'!A:B,2,FALSE),"")</f>
        <v/>
      </c>
      <c r="N7" t="n">
        <v>1</v>
      </c>
      <c r="O7" t="n">
        <v>300</v>
      </c>
      <c r="P7" s="6">
        <f>IF(AND(K7="Approved",L7&gt;=5000),MIN(O7,L7/1000*N7),0)</f>
        <v/>
      </c>
    </row>
    <row r="8">
      <c r="F8">
        <f>IFERROR(VLOOKUP(LEFT(E8,1),'03 Angle scoreboard'!A:B,2,FALSE),"")</f>
        <v/>
      </c>
      <c r="N8" t="n">
        <v>1</v>
      </c>
      <c r="O8" t="n">
        <v>300</v>
      </c>
      <c r="P8" s="6">
        <f>IF(AND(K8="Approved",L8&gt;=5000),MIN(O8,L8/1000*N8),0)</f>
        <v/>
      </c>
    </row>
    <row r="9">
      <c r="F9">
        <f>IFERROR(VLOOKUP(LEFT(E9,1),'03 Angle scoreboard'!A:B,2,FALSE),"")</f>
        <v/>
      </c>
      <c r="N9" t="n">
        <v>1</v>
      </c>
      <c r="O9" t="n">
        <v>300</v>
      </c>
      <c r="P9" s="6">
        <f>IF(AND(K9="Approved",L9&gt;=5000),MIN(O9,L9/1000*N9),0)</f>
        <v/>
      </c>
    </row>
    <row r="10">
      <c r="F10">
        <f>IFERROR(VLOOKUP(LEFT(E10,1),'03 Angle scoreboard'!A:B,2,FALSE),"")</f>
        <v/>
      </c>
      <c r="N10" t="n">
        <v>1</v>
      </c>
      <c r="O10" t="n">
        <v>300</v>
      </c>
      <c r="P10" s="6">
        <f>IF(AND(K10="Approved",L10&gt;=5000),MIN(O10,L10/1000*N10),0)</f>
        <v/>
      </c>
    </row>
    <row r="11">
      <c r="F11">
        <f>IFERROR(VLOOKUP(LEFT(E11,1),'03 Angle scoreboard'!A:B,2,FALSE),"")</f>
        <v/>
      </c>
      <c r="N11" t="n">
        <v>1</v>
      </c>
      <c r="O11" t="n">
        <v>300</v>
      </c>
      <c r="P11" s="6">
        <f>IF(AND(K11="Approved",L11&gt;=5000),MIN(O11,L11/1000*N11),0)</f>
        <v/>
      </c>
    </row>
    <row r="12">
      <c r="F12">
        <f>IFERROR(VLOOKUP(LEFT(E12,1),'03 Angle scoreboard'!A:B,2,FALSE),"")</f>
        <v/>
      </c>
      <c r="N12" t="n">
        <v>1</v>
      </c>
      <c r="O12" t="n">
        <v>300</v>
      </c>
      <c r="P12" s="6">
        <f>IF(AND(K12="Approved",L12&gt;=5000),MIN(O12,L12/1000*N12),0)</f>
        <v/>
      </c>
    </row>
    <row r="13">
      <c r="F13">
        <f>IFERROR(VLOOKUP(LEFT(E13,1),'03 Angle scoreboard'!A:B,2,FALSE),"")</f>
        <v/>
      </c>
      <c r="N13" t="n">
        <v>1</v>
      </c>
      <c r="O13" t="n">
        <v>300</v>
      </c>
      <c r="P13" s="6">
        <f>IF(AND(K13="Approved",L13&gt;=5000),MIN(O13,L13/1000*N13),0)</f>
        <v/>
      </c>
    </row>
    <row r="14">
      <c r="F14">
        <f>IFERROR(VLOOKUP(LEFT(E14,1),'03 Angle scoreboard'!A:B,2,FALSE),"")</f>
        <v/>
      </c>
      <c r="N14" t="n">
        <v>1</v>
      </c>
      <c r="O14" t="n">
        <v>300</v>
      </c>
      <c r="P14" s="6">
        <f>IF(AND(K14="Approved",L14&gt;=5000),MIN(O14,L14/1000*N14),0)</f>
        <v/>
      </c>
    </row>
    <row r="15">
      <c r="F15">
        <f>IFERROR(VLOOKUP(LEFT(E15,1),'03 Angle scoreboard'!A:B,2,FALSE),"")</f>
        <v/>
      </c>
      <c r="N15" t="n">
        <v>1</v>
      </c>
      <c r="O15" t="n">
        <v>300</v>
      </c>
      <c r="P15" s="6">
        <f>IF(AND(K15="Approved",L15&gt;=5000),MIN(O15,L15/1000*N15),0)</f>
        <v/>
      </c>
    </row>
    <row r="16">
      <c r="F16">
        <f>IFERROR(VLOOKUP(LEFT(E16,1),'03 Angle scoreboard'!A:B,2,FALSE),"")</f>
        <v/>
      </c>
      <c r="N16" t="n">
        <v>1</v>
      </c>
      <c r="O16" t="n">
        <v>300</v>
      </c>
      <c r="P16" s="6">
        <f>IF(AND(K16="Approved",L16&gt;=5000),MIN(O16,L16/1000*N16),0)</f>
        <v/>
      </c>
    </row>
    <row r="17">
      <c r="F17">
        <f>IFERROR(VLOOKUP(LEFT(E17,1),'03 Angle scoreboard'!A:B,2,FALSE),"")</f>
        <v/>
      </c>
      <c r="N17" t="n">
        <v>1</v>
      </c>
      <c r="O17" t="n">
        <v>300</v>
      </c>
      <c r="P17" s="6">
        <f>IF(AND(K17="Approved",L17&gt;=5000),MIN(O17,L17/1000*N17),0)</f>
        <v/>
      </c>
    </row>
    <row r="18">
      <c r="F18">
        <f>IFERROR(VLOOKUP(LEFT(E18,1),'03 Angle scoreboard'!A:B,2,FALSE),"")</f>
        <v/>
      </c>
      <c r="N18" t="n">
        <v>1</v>
      </c>
      <c r="O18" t="n">
        <v>300</v>
      </c>
      <c r="P18" s="6">
        <f>IF(AND(K18="Approved",L18&gt;=5000),MIN(O18,L18/1000*N18),0)</f>
        <v/>
      </c>
    </row>
    <row r="19">
      <c r="F19">
        <f>IFERROR(VLOOKUP(LEFT(E19,1),'03 Angle scoreboard'!A:B,2,FALSE),"")</f>
        <v/>
      </c>
      <c r="N19" t="n">
        <v>1</v>
      </c>
      <c r="O19" t="n">
        <v>300</v>
      </c>
      <c r="P19" s="6">
        <f>IF(AND(K19="Approved",L19&gt;=5000),MIN(O19,L19/1000*N19),0)</f>
        <v/>
      </c>
    </row>
    <row r="20">
      <c r="F20">
        <f>IFERROR(VLOOKUP(LEFT(E20,1),'03 Angle scoreboard'!A:B,2,FALSE),"")</f>
        <v/>
      </c>
      <c r="N20" t="n">
        <v>1</v>
      </c>
      <c r="O20" t="n">
        <v>300</v>
      </c>
      <c r="P20" s="6">
        <f>IF(AND(K20="Approved",L20&gt;=5000),MIN(O20,L20/1000*N20),0)</f>
        <v/>
      </c>
    </row>
    <row r="21">
      <c r="F21">
        <f>IFERROR(VLOOKUP(LEFT(E21,1),'03 Angle scoreboard'!A:B,2,FALSE),"")</f>
        <v/>
      </c>
      <c r="N21" t="n">
        <v>1</v>
      </c>
      <c r="O21" t="n">
        <v>300</v>
      </c>
      <c r="P21" s="6">
        <f>IF(AND(K21="Approved",L21&gt;=5000),MIN(O21,L21/1000*N21),0)</f>
        <v/>
      </c>
    </row>
    <row r="22">
      <c r="F22">
        <f>IFERROR(VLOOKUP(LEFT(E22,1),'03 Angle scoreboard'!A:B,2,FALSE),"")</f>
        <v/>
      </c>
      <c r="N22" t="n">
        <v>1</v>
      </c>
      <c r="O22" t="n">
        <v>300</v>
      </c>
      <c r="P22" s="6">
        <f>IF(AND(K22="Approved",L22&gt;=5000),MIN(O22,L22/1000*N22),0)</f>
        <v/>
      </c>
    </row>
    <row r="23">
      <c r="F23">
        <f>IFERROR(VLOOKUP(LEFT(E23,1),'03 Angle scoreboard'!A:B,2,FALSE),"")</f>
        <v/>
      </c>
      <c r="N23" t="n">
        <v>1</v>
      </c>
      <c r="O23" t="n">
        <v>300</v>
      </c>
      <c r="P23" s="6">
        <f>IF(AND(K23="Approved",L23&gt;=5000),MIN(O23,L23/1000*N23),0)</f>
        <v/>
      </c>
    </row>
    <row r="24">
      <c r="F24">
        <f>IFERROR(VLOOKUP(LEFT(E24,1),'03 Angle scoreboard'!A:B,2,FALSE),"")</f>
        <v/>
      </c>
      <c r="N24" t="n">
        <v>1</v>
      </c>
      <c r="O24" t="n">
        <v>300</v>
      </c>
      <c r="P24" s="6">
        <f>IF(AND(K24="Approved",L24&gt;=5000),MIN(O24,L24/1000*N24),0)</f>
        <v/>
      </c>
    </row>
    <row r="25">
      <c r="F25">
        <f>IFERROR(VLOOKUP(LEFT(E25,1),'03 Angle scoreboard'!A:B,2,FALSE),"")</f>
        <v/>
      </c>
      <c r="N25" t="n">
        <v>1</v>
      </c>
      <c r="O25" t="n">
        <v>300</v>
      </c>
      <c r="P25" s="6">
        <f>IF(AND(K25="Approved",L25&gt;=5000),MIN(O25,L25/1000*N25),0)</f>
        <v/>
      </c>
    </row>
    <row r="26">
      <c r="F26">
        <f>IFERROR(VLOOKUP(LEFT(E26,1),'03 Angle scoreboard'!A:B,2,FALSE),"")</f>
        <v/>
      </c>
      <c r="N26" t="n">
        <v>1</v>
      </c>
      <c r="O26" t="n">
        <v>300</v>
      </c>
      <c r="P26" s="6">
        <f>IF(AND(K26="Approved",L26&gt;=5000),MIN(O26,L26/1000*N26),0)</f>
        <v/>
      </c>
    </row>
    <row r="27">
      <c r="F27">
        <f>IFERROR(VLOOKUP(LEFT(E27,1),'03 Angle scoreboard'!A:B,2,FALSE),"")</f>
        <v/>
      </c>
      <c r="N27" t="n">
        <v>1</v>
      </c>
      <c r="O27" t="n">
        <v>300</v>
      </c>
      <c r="P27" s="6">
        <f>IF(AND(K27="Approved",L27&gt;=5000),MIN(O27,L27/1000*N27),0)</f>
        <v/>
      </c>
    </row>
    <row r="28">
      <c r="F28">
        <f>IFERROR(VLOOKUP(LEFT(E28,1),'03 Angle scoreboard'!A:B,2,FALSE),"")</f>
        <v/>
      </c>
      <c r="N28" t="n">
        <v>1</v>
      </c>
      <c r="O28" t="n">
        <v>300</v>
      </c>
      <c r="P28" s="6">
        <f>IF(AND(K28="Approved",L28&gt;=5000),MIN(O28,L28/1000*N28),0)</f>
        <v/>
      </c>
    </row>
    <row r="29">
      <c r="F29">
        <f>IFERROR(VLOOKUP(LEFT(E29,1),'03 Angle scoreboard'!A:B,2,FALSE),"")</f>
        <v/>
      </c>
      <c r="N29" t="n">
        <v>1</v>
      </c>
      <c r="O29" t="n">
        <v>300</v>
      </c>
      <c r="P29" s="6">
        <f>IF(AND(K29="Approved",L29&gt;=5000),MIN(O29,L29/1000*N29),0)</f>
        <v/>
      </c>
    </row>
    <row r="30">
      <c r="F30">
        <f>IFERROR(VLOOKUP(LEFT(E30,1),'03 Angle scoreboard'!A:B,2,FALSE),"")</f>
        <v/>
      </c>
      <c r="N30" t="n">
        <v>1</v>
      </c>
      <c r="O30" t="n">
        <v>300</v>
      </c>
      <c r="P30" s="6">
        <f>IF(AND(K30="Approved",L30&gt;=5000),MIN(O30,L30/1000*N30),0)</f>
        <v/>
      </c>
    </row>
    <row r="31">
      <c r="F31">
        <f>IFERROR(VLOOKUP(LEFT(E31,1),'03 Angle scoreboard'!A:B,2,FALSE),"")</f>
        <v/>
      </c>
      <c r="N31" t="n">
        <v>1</v>
      </c>
      <c r="O31" t="n">
        <v>300</v>
      </c>
      <c r="P31" s="6">
        <f>IF(AND(K31="Approved",L31&gt;=5000),MIN(O31,L31/1000*N31),0)</f>
        <v/>
      </c>
    </row>
    <row r="32">
      <c r="F32">
        <f>IFERROR(VLOOKUP(LEFT(E32,1),'03 Angle scoreboard'!A:B,2,FALSE),"")</f>
        <v/>
      </c>
      <c r="N32" t="n">
        <v>1</v>
      </c>
      <c r="O32" t="n">
        <v>300</v>
      </c>
      <c r="P32" s="6">
        <f>IF(AND(K32="Approved",L32&gt;=5000),MIN(O32,L32/1000*N32),0)</f>
        <v/>
      </c>
    </row>
    <row r="33">
      <c r="F33">
        <f>IFERROR(VLOOKUP(LEFT(E33,1),'03 Angle scoreboard'!A:B,2,FALSE),"")</f>
        <v/>
      </c>
      <c r="N33" t="n">
        <v>1</v>
      </c>
      <c r="O33" t="n">
        <v>300</v>
      </c>
      <c r="P33" s="6">
        <f>IF(AND(K33="Approved",L33&gt;=5000),MIN(O33,L33/1000*N33),0)</f>
        <v/>
      </c>
    </row>
    <row r="34">
      <c r="F34">
        <f>IFERROR(VLOOKUP(LEFT(E34,1),'03 Angle scoreboard'!A:B,2,FALSE),"")</f>
        <v/>
      </c>
      <c r="N34" t="n">
        <v>1</v>
      </c>
      <c r="O34" t="n">
        <v>300</v>
      </c>
      <c r="P34" s="6">
        <f>IF(AND(K34="Approved",L34&gt;=5000),MIN(O34,L34/1000*N34),0)</f>
        <v/>
      </c>
    </row>
    <row r="35">
      <c r="F35">
        <f>IFERROR(VLOOKUP(LEFT(E35,1),'03 Angle scoreboard'!A:B,2,FALSE),"")</f>
        <v/>
      </c>
      <c r="N35" t="n">
        <v>1</v>
      </c>
      <c r="O35" t="n">
        <v>300</v>
      </c>
      <c r="P35" s="6">
        <f>IF(AND(K35="Approved",L35&gt;=5000),MIN(O35,L35/1000*N35),0)</f>
        <v/>
      </c>
    </row>
    <row r="36">
      <c r="F36">
        <f>IFERROR(VLOOKUP(LEFT(E36,1),'03 Angle scoreboard'!A:B,2,FALSE),"")</f>
        <v/>
      </c>
      <c r="N36" t="n">
        <v>1</v>
      </c>
      <c r="O36" t="n">
        <v>300</v>
      </c>
      <c r="P36" s="6">
        <f>IF(AND(K36="Approved",L36&gt;=5000),MIN(O36,L36/1000*N36),0)</f>
        <v/>
      </c>
    </row>
    <row r="37">
      <c r="F37">
        <f>IFERROR(VLOOKUP(LEFT(E37,1),'03 Angle scoreboard'!A:B,2,FALSE),"")</f>
        <v/>
      </c>
      <c r="N37" t="n">
        <v>1</v>
      </c>
      <c r="O37" t="n">
        <v>300</v>
      </c>
      <c r="P37" s="6">
        <f>IF(AND(K37="Approved",L37&gt;=5000),MIN(O37,L37/1000*N37),0)</f>
        <v/>
      </c>
    </row>
    <row r="38">
      <c r="F38">
        <f>IFERROR(VLOOKUP(LEFT(E38,1),'03 Angle scoreboard'!A:B,2,FALSE),"")</f>
        <v/>
      </c>
      <c r="N38" t="n">
        <v>1</v>
      </c>
      <c r="O38" t="n">
        <v>300</v>
      </c>
      <c r="P38" s="6">
        <f>IF(AND(K38="Approved",L38&gt;=5000),MIN(O38,L38/1000*N38),0)</f>
        <v/>
      </c>
    </row>
    <row r="39">
      <c r="F39">
        <f>IFERROR(VLOOKUP(LEFT(E39,1),'03 Angle scoreboard'!A:B,2,FALSE),"")</f>
        <v/>
      </c>
      <c r="N39" t="n">
        <v>1</v>
      </c>
      <c r="O39" t="n">
        <v>300</v>
      </c>
      <c r="P39" s="6">
        <f>IF(AND(K39="Approved",L39&gt;=5000),MIN(O39,L39/1000*N39),0)</f>
        <v/>
      </c>
    </row>
    <row r="40">
      <c r="F40">
        <f>IFERROR(VLOOKUP(LEFT(E40,1),'03 Angle scoreboard'!A:B,2,FALSE),"")</f>
        <v/>
      </c>
      <c r="N40" t="n">
        <v>1</v>
      </c>
      <c r="O40" t="n">
        <v>300</v>
      </c>
      <c r="P40" s="6">
        <f>IF(AND(K40="Approved",L40&gt;=5000),MIN(O40,L40/1000*N40),0)</f>
        <v/>
      </c>
    </row>
    <row r="41">
      <c r="F41">
        <f>IFERROR(VLOOKUP(LEFT(E41,1),'03 Angle scoreboard'!A:B,2,FALSE),"")</f>
        <v/>
      </c>
      <c r="N41" t="n">
        <v>1</v>
      </c>
      <c r="O41" t="n">
        <v>300</v>
      </c>
      <c r="P41" s="6">
        <f>IF(AND(K41="Approved",L41&gt;=5000),MIN(O41,L41/1000*N41),0)</f>
        <v/>
      </c>
    </row>
    <row r="42">
      <c r="F42">
        <f>IFERROR(VLOOKUP(LEFT(E42,1),'03 Angle scoreboard'!A:B,2,FALSE),"")</f>
        <v/>
      </c>
      <c r="N42" t="n">
        <v>1</v>
      </c>
      <c r="O42" t="n">
        <v>300</v>
      </c>
      <c r="P42" s="6">
        <f>IF(AND(K42="Approved",L42&gt;=5000),MIN(O42,L42/1000*N42),0)</f>
        <v/>
      </c>
    </row>
    <row r="43">
      <c r="F43">
        <f>IFERROR(VLOOKUP(LEFT(E43,1),'03 Angle scoreboard'!A:B,2,FALSE),"")</f>
        <v/>
      </c>
      <c r="N43" t="n">
        <v>1</v>
      </c>
      <c r="O43" t="n">
        <v>300</v>
      </c>
      <c r="P43" s="6">
        <f>IF(AND(K43="Approved",L43&gt;=5000),MIN(O43,L43/1000*N43),0)</f>
        <v/>
      </c>
    </row>
    <row r="44">
      <c r="F44">
        <f>IFERROR(VLOOKUP(LEFT(E44,1),'03 Angle scoreboard'!A:B,2,FALSE),"")</f>
        <v/>
      </c>
      <c r="N44" t="n">
        <v>1</v>
      </c>
      <c r="O44" t="n">
        <v>300</v>
      </c>
      <c r="P44" s="6">
        <f>IF(AND(K44="Approved",L44&gt;=5000),MIN(O44,L44/1000*N44),0)</f>
        <v/>
      </c>
    </row>
    <row r="45">
      <c r="F45">
        <f>IFERROR(VLOOKUP(LEFT(E45,1),'03 Angle scoreboard'!A:B,2,FALSE),"")</f>
        <v/>
      </c>
      <c r="N45" t="n">
        <v>1</v>
      </c>
      <c r="O45" t="n">
        <v>300</v>
      </c>
      <c r="P45" s="6">
        <f>IF(AND(K45="Approved",L45&gt;=5000),MIN(O45,L45/1000*N45),0)</f>
        <v/>
      </c>
    </row>
    <row r="46">
      <c r="F46">
        <f>IFERROR(VLOOKUP(LEFT(E46,1),'03 Angle scoreboard'!A:B,2,FALSE),"")</f>
        <v/>
      </c>
      <c r="N46" t="n">
        <v>1</v>
      </c>
      <c r="O46" t="n">
        <v>300</v>
      </c>
      <c r="P46" s="6">
        <f>IF(AND(K46="Approved",L46&gt;=5000),MIN(O46,L46/1000*N46),0)</f>
        <v/>
      </c>
    </row>
    <row r="47">
      <c r="F47">
        <f>IFERROR(VLOOKUP(LEFT(E47,1),'03 Angle scoreboard'!A:B,2,FALSE),"")</f>
        <v/>
      </c>
      <c r="N47" t="n">
        <v>1</v>
      </c>
      <c r="O47" t="n">
        <v>300</v>
      </c>
      <c r="P47" s="6">
        <f>IF(AND(K47="Approved",L47&gt;=5000),MIN(O47,L47/1000*N47),0)</f>
        <v/>
      </c>
    </row>
    <row r="48">
      <c r="F48">
        <f>IFERROR(VLOOKUP(LEFT(E48,1),'03 Angle scoreboard'!A:B,2,FALSE),"")</f>
        <v/>
      </c>
      <c r="N48" t="n">
        <v>1</v>
      </c>
      <c r="O48" t="n">
        <v>300</v>
      </c>
      <c r="P48" s="6">
        <f>IF(AND(K48="Approved",L48&gt;=5000),MIN(O48,L48/1000*N48),0)</f>
        <v/>
      </c>
    </row>
    <row r="49">
      <c r="F49">
        <f>IFERROR(VLOOKUP(LEFT(E49,1),'03 Angle scoreboard'!A:B,2,FALSE),"")</f>
        <v/>
      </c>
      <c r="N49" t="n">
        <v>1</v>
      </c>
      <c r="O49" t="n">
        <v>300</v>
      </c>
      <c r="P49" s="6">
        <f>IF(AND(K49="Approved",L49&gt;=5000),MIN(O49,L49/1000*N49),0)</f>
        <v/>
      </c>
    </row>
    <row r="50">
      <c r="F50">
        <f>IFERROR(VLOOKUP(LEFT(E50,1),'03 Angle scoreboard'!A:B,2,FALSE),"")</f>
        <v/>
      </c>
      <c r="N50" t="n">
        <v>1</v>
      </c>
      <c r="O50" t="n">
        <v>300</v>
      </c>
      <c r="P50" s="6">
        <f>IF(AND(K50="Approved",L50&gt;=5000),MIN(O50,L50/1000*N50),0)</f>
        <v/>
      </c>
    </row>
    <row r="51">
      <c r="F51">
        <f>IFERROR(VLOOKUP(LEFT(E51,1),'03 Angle scoreboard'!A:B,2,FALSE),"")</f>
        <v/>
      </c>
      <c r="N51" t="n">
        <v>1</v>
      </c>
      <c r="O51" t="n">
        <v>300</v>
      </c>
      <c r="P51" s="6">
        <f>IF(AND(K51="Approved",L51&gt;=5000),MIN(O51,L51/1000*N51),0)</f>
        <v/>
      </c>
    </row>
    <row r="52">
      <c r="F52">
        <f>IFERROR(VLOOKUP(LEFT(E52,1),'03 Angle scoreboard'!A:B,2,FALSE),"")</f>
        <v/>
      </c>
      <c r="N52" t="n">
        <v>1</v>
      </c>
      <c r="O52" t="n">
        <v>300</v>
      </c>
      <c r="P52" s="6">
        <f>IF(AND(K52="Approved",L52&gt;=5000),MIN(O52,L52/1000*N52),0)</f>
        <v/>
      </c>
    </row>
    <row r="53">
      <c r="F53">
        <f>IFERROR(VLOOKUP(LEFT(E53,1),'03 Angle scoreboard'!A:B,2,FALSE),"")</f>
        <v/>
      </c>
      <c r="N53" t="n">
        <v>1</v>
      </c>
      <c r="O53" t="n">
        <v>300</v>
      </c>
      <c r="P53" s="6">
        <f>IF(AND(K53="Approved",L53&gt;=5000),MIN(O53,L53/1000*N53),0)</f>
        <v/>
      </c>
    </row>
    <row r="54">
      <c r="F54">
        <f>IFERROR(VLOOKUP(LEFT(E54,1),'03 Angle scoreboard'!A:B,2,FALSE),"")</f>
        <v/>
      </c>
      <c r="N54" t="n">
        <v>1</v>
      </c>
      <c r="O54" t="n">
        <v>300</v>
      </c>
      <c r="P54" s="6">
        <f>IF(AND(K54="Approved",L54&gt;=5000),MIN(O54,L54/1000*N54),0)</f>
        <v/>
      </c>
    </row>
    <row r="55">
      <c r="F55">
        <f>IFERROR(VLOOKUP(LEFT(E55,1),'03 Angle scoreboard'!A:B,2,FALSE),"")</f>
        <v/>
      </c>
      <c r="N55" t="n">
        <v>1</v>
      </c>
      <c r="O55" t="n">
        <v>300</v>
      </c>
      <c r="P55" s="6">
        <f>IF(AND(K55="Approved",L55&gt;=5000),MIN(O55,L55/1000*N55),0)</f>
        <v/>
      </c>
    </row>
    <row r="56">
      <c r="F56">
        <f>IFERROR(VLOOKUP(LEFT(E56,1),'03 Angle scoreboard'!A:B,2,FALSE),"")</f>
        <v/>
      </c>
      <c r="N56" t="n">
        <v>1</v>
      </c>
      <c r="O56" t="n">
        <v>300</v>
      </c>
      <c r="P56" s="6">
        <f>IF(AND(K56="Approved",L56&gt;=5000),MIN(O56,L56/1000*N56),0)</f>
        <v/>
      </c>
    </row>
    <row r="57">
      <c r="F57">
        <f>IFERROR(VLOOKUP(LEFT(E57,1),'03 Angle scoreboard'!A:B,2,FALSE),"")</f>
        <v/>
      </c>
      <c r="N57" t="n">
        <v>1</v>
      </c>
      <c r="O57" t="n">
        <v>300</v>
      </c>
      <c r="P57" s="6">
        <f>IF(AND(K57="Approved",L57&gt;=5000),MIN(O57,L57/1000*N57),0)</f>
        <v/>
      </c>
    </row>
    <row r="58">
      <c r="F58">
        <f>IFERROR(VLOOKUP(LEFT(E58,1),'03 Angle scoreboard'!A:B,2,FALSE),"")</f>
        <v/>
      </c>
      <c r="N58" t="n">
        <v>1</v>
      </c>
      <c r="O58" t="n">
        <v>300</v>
      </c>
      <c r="P58" s="6">
        <f>IF(AND(K58="Approved",L58&gt;=5000),MIN(O58,L58/1000*N58),0)</f>
        <v/>
      </c>
    </row>
    <row r="59">
      <c r="F59">
        <f>IFERROR(VLOOKUP(LEFT(E59,1),'03 Angle scoreboard'!A:B,2,FALSE),"")</f>
        <v/>
      </c>
      <c r="N59" t="n">
        <v>1</v>
      </c>
      <c r="O59" t="n">
        <v>300</v>
      </c>
      <c r="P59" s="6">
        <f>IF(AND(K59="Approved",L59&gt;=5000),MIN(O59,L59/1000*N59),0)</f>
        <v/>
      </c>
    </row>
    <row r="60">
      <c r="F60">
        <f>IFERROR(VLOOKUP(LEFT(E60,1),'03 Angle scoreboard'!A:B,2,FALSE),"")</f>
        <v/>
      </c>
      <c r="N60" t="n">
        <v>1</v>
      </c>
      <c r="O60" t="n">
        <v>300</v>
      </c>
      <c r="P60" s="6">
        <f>IF(AND(K60="Approved",L60&gt;=5000),MIN(O60,L60/1000*N60),0)</f>
        <v/>
      </c>
    </row>
    <row r="61">
      <c r="F61">
        <f>IFERROR(VLOOKUP(LEFT(E61,1),'03 Angle scoreboard'!A:B,2,FALSE),"")</f>
        <v/>
      </c>
      <c r="N61" t="n">
        <v>1</v>
      </c>
      <c r="O61" t="n">
        <v>300</v>
      </c>
      <c r="P61" s="6">
        <f>IF(AND(K61="Approved",L61&gt;=5000),MIN(O61,L61/1000*N61),0)</f>
        <v/>
      </c>
    </row>
    <row r="62">
      <c r="F62">
        <f>IFERROR(VLOOKUP(LEFT(E62,1),'03 Angle scoreboard'!A:B,2,FALSE),"")</f>
        <v/>
      </c>
      <c r="N62" t="n">
        <v>1</v>
      </c>
      <c r="O62" t="n">
        <v>300</v>
      </c>
      <c r="P62" s="6">
        <f>IF(AND(K62="Approved",L62&gt;=5000),MIN(O62,L62/1000*N62),0)</f>
        <v/>
      </c>
    </row>
    <row r="63">
      <c r="F63">
        <f>IFERROR(VLOOKUP(LEFT(E63,1),'03 Angle scoreboard'!A:B,2,FALSE),"")</f>
        <v/>
      </c>
      <c r="N63" t="n">
        <v>1</v>
      </c>
      <c r="O63" t="n">
        <v>300</v>
      </c>
      <c r="P63" s="6">
        <f>IF(AND(K63="Approved",L63&gt;=5000),MIN(O63,L63/1000*N63),0)</f>
        <v/>
      </c>
    </row>
    <row r="64">
      <c r="F64">
        <f>IFERROR(VLOOKUP(LEFT(E64,1),'03 Angle scoreboard'!A:B,2,FALSE),"")</f>
        <v/>
      </c>
      <c r="N64" t="n">
        <v>1</v>
      </c>
      <c r="O64" t="n">
        <v>300</v>
      </c>
      <c r="P64" s="6">
        <f>IF(AND(K64="Approved",L64&gt;=5000),MIN(O64,L64/1000*N64),0)</f>
        <v/>
      </c>
    </row>
    <row r="65">
      <c r="F65">
        <f>IFERROR(VLOOKUP(LEFT(E65,1),'03 Angle scoreboard'!A:B,2,FALSE),"")</f>
        <v/>
      </c>
      <c r="N65" t="n">
        <v>1</v>
      </c>
      <c r="O65" t="n">
        <v>300</v>
      </c>
      <c r="P65" s="6">
        <f>IF(AND(K65="Approved",L65&gt;=5000),MIN(O65,L65/1000*N65),0)</f>
        <v/>
      </c>
    </row>
    <row r="66">
      <c r="F66">
        <f>IFERROR(VLOOKUP(LEFT(E66,1),'03 Angle scoreboard'!A:B,2,FALSE),"")</f>
        <v/>
      </c>
      <c r="N66" t="n">
        <v>1</v>
      </c>
      <c r="O66" t="n">
        <v>300</v>
      </c>
      <c r="P66" s="6">
        <f>IF(AND(K66="Approved",L66&gt;=5000),MIN(O66,L66/1000*N66),0)</f>
        <v/>
      </c>
    </row>
    <row r="67">
      <c r="F67">
        <f>IFERROR(VLOOKUP(LEFT(E67,1),'03 Angle scoreboard'!A:B,2,FALSE),"")</f>
        <v/>
      </c>
      <c r="N67" t="n">
        <v>1</v>
      </c>
      <c r="O67" t="n">
        <v>300</v>
      </c>
      <c r="P67" s="6">
        <f>IF(AND(K67="Approved",L67&gt;=5000),MIN(O67,L67/1000*N67),0)</f>
        <v/>
      </c>
    </row>
    <row r="68">
      <c r="F68">
        <f>IFERROR(VLOOKUP(LEFT(E68,1),'03 Angle scoreboard'!A:B,2,FALSE),"")</f>
        <v/>
      </c>
      <c r="N68" t="n">
        <v>1</v>
      </c>
      <c r="O68" t="n">
        <v>300</v>
      </c>
      <c r="P68" s="6">
        <f>IF(AND(K68="Approved",L68&gt;=5000),MIN(O68,L68/1000*N68),0)</f>
        <v/>
      </c>
    </row>
    <row r="69">
      <c r="F69">
        <f>IFERROR(VLOOKUP(LEFT(E69,1),'03 Angle scoreboard'!A:B,2,FALSE),"")</f>
        <v/>
      </c>
      <c r="N69" t="n">
        <v>1</v>
      </c>
      <c r="O69" t="n">
        <v>300</v>
      </c>
      <c r="P69" s="6">
        <f>IF(AND(K69="Approved",L69&gt;=5000),MIN(O69,L69/1000*N69),0)</f>
        <v/>
      </c>
    </row>
    <row r="70">
      <c r="F70">
        <f>IFERROR(VLOOKUP(LEFT(E70,1),'03 Angle scoreboard'!A:B,2,FALSE),"")</f>
        <v/>
      </c>
      <c r="N70" t="n">
        <v>1</v>
      </c>
      <c r="O70" t="n">
        <v>300</v>
      </c>
      <c r="P70" s="6">
        <f>IF(AND(K70="Approved",L70&gt;=5000),MIN(O70,L70/1000*N70),0)</f>
        <v/>
      </c>
    </row>
    <row r="71">
      <c r="F71">
        <f>IFERROR(VLOOKUP(LEFT(E71,1),'03 Angle scoreboard'!A:B,2,FALSE),"")</f>
        <v/>
      </c>
      <c r="N71" t="n">
        <v>1</v>
      </c>
      <c r="O71" t="n">
        <v>300</v>
      </c>
      <c r="P71" s="6">
        <f>IF(AND(K71="Approved",L71&gt;=5000),MIN(O71,L71/1000*N71),0)</f>
        <v/>
      </c>
    </row>
    <row r="72">
      <c r="F72">
        <f>IFERROR(VLOOKUP(LEFT(E72,1),'03 Angle scoreboard'!A:B,2,FALSE),"")</f>
        <v/>
      </c>
      <c r="N72" t="n">
        <v>1</v>
      </c>
      <c r="O72" t="n">
        <v>300</v>
      </c>
      <c r="P72" s="6">
        <f>IF(AND(K72="Approved",L72&gt;=5000),MIN(O72,L72/1000*N72),0)</f>
        <v/>
      </c>
    </row>
    <row r="73">
      <c r="F73">
        <f>IFERROR(VLOOKUP(LEFT(E73,1),'03 Angle scoreboard'!A:B,2,FALSE),"")</f>
        <v/>
      </c>
      <c r="N73" t="n">
        <v>1</v>
      </c>
      <c r="O73" t="n">
        <v>300</v>
      </c>
      <c r="P73" s="6">
        <f>IF(AND(K73="Approved",L73&gt;=5000),MIN(O73,L73/1000*N73),0)</f>
        <v/>
      </c>
    </row>
    <row r="74">
      <c r="F74">
        <f>IFERROR(VLOOKUP(LEFT(E74,1),'03 Angle scoreboard'!A:B,2,FALSE),"")</f>
        <v/>
      </c>
      <c r="N74" t="n">
        <v>1</v>
      </c>
      <c r="O74" t="n">
        <v>300</v>
      </c>
      <c r="P74" s="6">
        <f>IF(AND(K74="Approved",L74&gt;=5000),MIN(O74,L74/1000*N74),0)</f>
        <v/>
      </c>
    </row>
    <row r="75">
      <c r="F75">
        <f>IFERROR(VLOOKUP(LEFT(E75,1),'03 Angle scoreboard'!A:B,2,FALSE),"")</f>
        <v/>
      </c>
      <c r="N75" t="n">
        <v>1</v>
      </c>
      <c r="O75" t="n">
        <v>300</v>
      </c>
      <c r="P75" s="6">
        <f>IF(AND(K75="Approved",L75&gt;=5000),MIN(O75,L75/1000*N75),0)</f>
        <v/>
      </c>
    </row>
    <row r="76">
      <c r="F76">
        <f>IFERROR(VLOOKUP(LEFT(E76,1),'03 Angle scoreboard'!A:B,2,FALSE),"")</f>
        <v/>
      </c>
      <c r="N76" t="n">
        <v>1</v>
      </c>
      <c r="O76" t="n">
        <v>300</v>
      </c>
      <c r="P76" s="6">
        <f>IF(AND(K76="Approved",L76&gt;=5000),MIN(O76,L76/1000*N76),0)</f>
        <v/>
      </c>
    </row>
    <row r="77">
      <c r="F77">
        <f>IFERROR(VLOOKUP(LEFT(E77,1),'03 Angle scoreboard'!A:B,2,FALSE),"")</f>
        <v/>
      </c>
      <c r="N77" t="n">
        <v>1</v>
      </c>
      <c r="O77" t="n">
        <v>300</v>
      </c>
      <c r="P77" s="6">
        <f>IF(AND(K77="Approved",L77&gt;=5000),MIN(O77,L77/1000*N77),0)</f>
        <v/>
      </c>
    </row>
    <row r="78">
      <c r="F78">
        <f>IFERROR(VLOOKUP(LEFT(E78,1),'03 Angle scoreboard'!A:B,2,FALSE),"")</f>
        <v/>
      </c>
      <c r="N78" t="n">
        <v>1</v>
      </c>
      <c r="O78" t="n">
        <v>300</v>
      </c>
      <c r="P78" s="6">
        <f>IF(AND(K78="Approved",L78&gt;=5000),MIN(O78,L78/1000*N78),0)</f>
        <v/>
      </c>
    </row>
    <row r="79">
      <c r="F79">
        <f>IFERROR(VLOOKUP(LEFT(E79,1),'03 Angle scoreboard'!A:B,2,FALSE),"")</f>
        <v/>
      </c>
      <c r="N79" t="n">
        <v>1</v>
      </c>
      <c r="O79" t="n">
        <v>300</v>
      </c>
      <c r="P79" s="6">
        <f>IF(AND(K79="Approved",L79&gt;=5000),MIN(O79,L79/1000*N79),0)</f>
        <v/>
      </c>
    </row>
    <row r="80">
      <c r="F80">
        <f>IFERROR(VLOOKUP(LEFT(E80,1),'03 Angle scoreboard'!A:B,2,FALSE),"")</f>
        <v/>
      </c>
      <c r="N80" t="n">
        <v>1</v>
      </c>
      <c r="O80" t="n">
        <v>300</v>
      </c>
      <c r="P80" s="6">
        <f>IF(AND(K80="Approved",L80&gt;=5000),MIN(O80,L80/1000*N80),0)</f>
        <v/>
      </c>
    </row>
    <row r="81">
      <c r="F81">
        <f>IFERROR(VLOOKUP(LEFT(E81,1),'03 Angle scoreboard'!A:B,2,FALSE),"")</f>
        <v/>
      </c>
      <c r="N81" t="n">
        <v>1</v>
      </c>
      <c r="O81" t="n">
        <v>300</v>
      </c>
      <c r="P81" s="6">
        <f>IF(AND(K81="Approved",L81&gt;=5000),MIN(O81,L81/1000*N81),0)</f>
        <v/>
      </c>
    </row>
    <row r="82">
      <c r="F82">
        <f>IFERROR(VLOOKUP(LEFT(E82,1),'03 Angle scoreboard'!A:B,2,FALSE),"")</f>
        <v/>
      </c>
      <c r="N82" t="n">
        <v>1</v>
      </c>
      <c r="O82" t="n">
        <v>300</v>
      </c>
      <c r="P82" s="6">
        <f>IF(AND(K82="Approved",L82&gt;=5000),MIN(O82,L82/1000*N82),0)</f>
        <v/>
      </c>
    </row>
    <row r="83">
      <c r="F83">
        <f>IFERROR(VLOOKUP(LEFT(E83,1),'03 Angle scoreboard'!A:B,2,FALSE),"")</f>
        <v/>
      </c>
      <c r="N83" t="n">
        <v>1</v>
      </c>
      <c r="O83" t="n">
        <v>300</v>
      </c>
      <c r="P83" s="6">
        <f>IF(AND(K83="Approved",L83&gt;=5000),MIN(O83,L83/1000*N83),0)</f>
        <v/>
      </c>
    </row>
    <row r="84">
      <c r="F84">
        <f>IFERROR(VLOOKUP(LEFT(E84,1),'03 Angle scoreboard'!A:B,2,FALSE),"")</f>
        <v/>
      </c>
      <c r="N84" t="n">
        <v>1</v>
      </c>
      <c r="O84" t="n">
        <v>300</v>
      </c>
      <c r="P84" s="6">
        <f>IF(AND(K84="Approved",L84&gt;=5000),MIN(O84,L84/1000*N84),0)</f>
        <v/>
      </c>
    </row>
    <row r="85">
      <c r="F85">
        <f>IFERROR(VLOOKUP(LEFT(E85,1),'03 Angle scoreboard'!A:B,2,FALSE),"")</f>
        <v/>
      </c>
      <c r="N85" t="n">
        <v>1</v>
      </c>
      <c r="O85" t="n">
        <v>300</v>
      </c>
      <c r="P85" s="6">
        <f>IF(AND(K85="Approved",L85&gt;=5000),MIN(O85,L85/1000*N85),0)</f>
        <v/>
      </c>
    </row>
    <row r="86">
      <c r="F86">
        <f>IFERROR(VLOOKUP(LEFT(E86,1),'03 Angle scoreboard'!A:B,2,FALSE),"")</f>
        <v/>
      </c>
      <c r="N86" t="n">
        <v>1</v>
      </c>
      <c r="O86" t="n">
        <v>300</v>
      </c>
      <c r="P86" s="6">
        <f>IF(AND(K86="Approved",L86&gt;=5000),MIN(O86,L86/1000*N86),0)</f>
        <v/>
      </c>
    </row>
    <row r="87">
      <c r="F87">
        <f>IFERROR(VLOOKUP(LEFT(E87,1),'03 Angle scoreboard'!A:B,2,FALSE),"")</f>
        <v/>
      </c>
      <c r="N87" t="n">
        <v>1</v>
      </c>
      <c r="O87" t="n">
        <v>300</v>
      </c>
      <c r="P87" s="6">
        <f>IF(AND(K87="Approved",L87&gt;=5000),MIN(O87,L87/1000*N87),0)</f>
        <v/>
      </c>
    </row>
    <row r="88">
      <c r="F88">
        <f>IFERROR(VLOOKUP(LEFT(E88,1),'03 Angle scoreboard'!A:B,2,FALSE),"")</f>
        <v/>
      </c>
      <c r="N88" t="n">
        <v>1</v>
      </c>
      <c r="O88" t="n">
        <v>300</v>
      </c>
      <c r="P88" s="6">
        <f>IF(AND(K88="Approved",L88&gt;=5000),MIN(O88,L88/1000*N88),0)</f>
        <v/>
      </c>
    </row>
    <row r="89">
      <c r="F89">
        <f>IFERROR(VLOOKUP(LEFT(E89,1),'03 Angle scoreboard'!A:B,2,FALSE),"")</f>
        <v/>
      </c>
      <c r="N89" t="n">
        <v>1</v>
      </c>
      <c r="O89" t="n">
        <v>300</v>
      </c>
      <c r="P89" s="6">
        <f>IF(AND(K89="Approved",L89&gt;=5000),MIN(O89,L89/1000*N89),0)</f>
        <v/>
      </c>
    </row>
    <row r="90">
      <c r="F90">
        <f>IFERROR(VLOOKUP(LEFT(E90,1),'03 Angle scoreboard'!A:B,2,FALSE),"")</f>
        <v/>
      </c>
      <c r="N90" t="n">
        <v>1</v>
      </c>
      <c r="O90" t="n">
        <v>300</v>
      </c>
      <c r="P90" s="6">
        <f>IF(AND(K90="Approved",L90&gt;=5000),MIN(O90,L90/1000*N90),0)</f>
        <v/>
      </c>
    </row>
    <row r="91">
      <c r="F91">
        <f>IFERROR(VLOOKUP(LEFT(E91,1),'03 Angle scoreboard'!A:B,2,FALSE),"")</f>
        <v/>
      </c>
      <c r="N91" t="n">
        <v>1</v>
      </c>
      <c r="O91" t="n">
        <v>300</v>
      </c>
      <c r="P91" s="6">
        <f>IF(AND(K91="Approved",L91&gt;=5000),MIN(O91,L91/1000*N91),0)</f>
        <v/>
      </c>
    </row>
    <row r="92">
      <c r="F92">
        <f>IFERROR(VLOOKUP(LEFT(E92,1),'03 Angle scoreboard'!A:B,2,FALSE),"")</f>
        <v/>
      </c>
      <c r="N92" t="n">
        <v>1</v>
      </c>
      <c r="O92" t="n">
        <v>300</v>
      </c>
      <c r="P92" s="6">
        <f>IF(AND(K92="Approved",L92&gt;=5000),MIN(O92,L92/1000*N92),0)</f>
        <v/>
      </c>
    </row>
    <row r="93">
      <c r="F93">
        <f>IFERROR(VLOOKUP(LEFT(E93,1),'03 Angle scoreboard'!A:B,2,FALSE),"")</f>
        <v/>
      </c>
      <c r="N93" t="n">
        <v>1</v>
      </c>
      <c r="O93" t="n">
        <v>300</v>
      </c>
      <c r="P93" s="6">
        <f>IF(AND(K93="Approved",L93&gt;=5000),MIN(O93,L93/1000*N93),0)</f>
        <v/>
      </c>
    </row>
    <row r="94">
      <c r="F94">
        <f>IFERROR(VLOOKUP(LEFT(E94,1),'03 Angle scoreboard'!A:B,2,FALSE),"")</f>
        <v/>
      </c>
      <c r="N94" t="n">
        <v>1</v>
      </c>
      <c r="O94" t="n">
        <v>300</v>
      </c>
      <c r="P94" s="6">
        <f>IF(AND(K94="Approved",L94&gt;=5000),MIN(O94,L94/1000*N94),0)</f>
        <v/>
      </c>
    </row>
    <row r="95">
      <c r="F95">
        <f>IFERROR(VLOOKUP(LEFT(E95,1),'03 Angle scoreboard'!A:B,2,FALSE),"")</f>
        <v/>
      </c>
      <c r="N95" t="n">
        <v>1</v>
      </c>
      <c r="O95" t="n">
        <v>300</v>
      </c>
      <c r="P95" s="6">
        <f>IF(AND(K95="Approved",L95&gt;=5000),MIN(O95,L95/1000*N95),0)</f>
        <v/>
      </c>
    </row>
    <row r="96">
      <c r="F96">
        <f>IFERROR(VLOOKUP(LEFT(E96,1),'03 Angle scoreboard'!A:B,2,FALSE),"")</f>
        <v/>
      </c>
      <c r="N96" t="n">
        <v>1</v>
      </c>
      <c r="O96" t="n">
        <v>300</v>
      </c>
      <c r="P96" s="6">
        <f>IF(AND(K96="Approved",L96&gt;=5000),MIN(O96,L96/1000*N96),0)</f>
        <v/>
      </c>
    </row>
    <row r="97">
      <c r="F97">
        <f>IFERROR(VLOOKUP(LEFT(E97,1),'03 Angle scoreboard'!A:B,2,FALSE),"")</f>
        <v/>
      </c>
      <c r="N97" t="n">
        <v>1</v>
      </c>
      <c r="O97" t="n">
        <v>300</v>
      </c>
      <c r="P97" s="6">
        <f>IF(AND(K97="Approved",L97&gt;=5000),MIN(O97,L97/1000*N97),0)</f>
        <v/>
      </c>
    </row>
    <row r="98">
      <c r="F98">
        <f>IFERROR(VLOOKUP(LEFT(E98,1),'03 Angle scoreboard'!A:B,2,FALSE),"")</f>
        <v/>
      </c>
      <c r="N98" t="n">
        <v>1</v>
      </c>
      <c r="O98" t="n">
        <v>300</v>
      </c>
      <c r="P98" s="6">
        <f>IF(AND(K98="Approved",L98&gt;=5000),MIN(O98,L98/1000*N98),0)</f>
        <v/>
      </c>
    </row>
    <row r="99">
      <c r="F99">
        <f>IFERROR(VLOOKUP(LEFT(E99,1),'03 Angle scoreboard'!A:B,2,FALSE),"")</f>
        <v/>
      </c>
      <c r="N99" t="n">
        <v>1</v>
      </c>
      <c r="O99" t="n">
        <v>300</v>
      </c>
      <c r="P99" s="6">
        <f>IF(AND(K99="Approved",L99&gt;=5000),MIN(O99,L99/1000*N99),0)</f>
        <v/>
      </c>
    </row>
    <row r="100">
      <c r="F100">
        <f>IFERROR(VLOOKUP(LEFT(E100,1),'03 Angle scoreboard'!A:B,2,FALSE),"")</f>
        <v/>
      </c>
      <c r="N100" t="n">
        <v>1</v>
      </c>
      <c r="O100" t="n">
        <v>300</v>
      </c>
      <c r="P100" s="6">
        <f>IF(AND(K100="Approved",L100&gt;=5000),MIN(O100,L100/1000*N100),0)</f>
        <v/>
      </c>
    </row>
    <row r="101">
      <c r="F101">
        <f>IFERROR(VLOOKUP(LEFT(E101,1),'03 Angle scoreboard'!A:B,2,FALSE),"")</f>
        <v/>
      </c>
      <c r="N101" t="n">
        <v>1</v>
      </c>
      <c r="O101" t="n">
        <v>300</v>
      </c>
      <c r="P101" s="6">
        <f>IF(AND(K101="Approved",L101&gt;=5000),MIN(O101,L101/1000*N101),0)</f>
        <v/>
      </c>
    </row>
    <row r="102">
      <c r="F102">
        <f>IFERROR(VLOOKUP(LEFT(E102,1),'03 Angle scoreboard'!A:B,2,FALSE),"")</f>
        <v/>
      </c>
      <c r="N102" t="n">
        <v>1</v>
      </c>
      <c r="O102" t="n">
        <v>300</v>
      </c>
      <c r="P102" s="6">
        <f>IF(AND(K102="Approved",L102&gt;=5000),MIN(O102,L102/1000*N102),0)</f>
        <v/>
      </c>
    </row>
    <row r="103">
      <c r="F103">
        <f>IFERROR(VLOOKUP(LEFT(E103,1),'03 Angle scoreboard'!A:B,2,FALSE),"")</f>
        <v/>
      </c>
      <c r="N103" t="n">
        <v>1</v>
      </c>
      <c r="O103" t="n">
        <v>300</v>
      </c>
      <c r="P103" s="6">
        <f>IF(AND(K103="Approved",L103&gt;=5000),MIN(O103,L103/1000*N103),0)</f>
        <v/>
      </c>
    </row>
    <row r="104">
      <c r="F104">
        <f>IFERROR(VLOOKUP(LEFT(E104,1),'03 Angle scoreboard'!A:B,2,FALSE),"")</f>
        <v/>
      </c>
      <c r="N104" t="n">
        <v>1</v>
      </c>
      <c r="O104" t="n">
        <v>300</v>
      </c>
      <c r="P104" s="6">
        <f>IF(AND(K104="Approved",L104&gt;=5000),MIN(O104,L104/1000*N104),0)</f>
        <v/>
      </c>
    </row>
    <row r="105">
      <c r="F105">
        <f>IFERROR(VLOOKUP(LEFT(E105,1),'03 Angle scoreboard'!A:B,2,FALSE),"")</f>
        <v/>
      </c>
      <c r="N105" t="n">
        <v>1</v>
      </c>
      <c r="O105" t="n">
        <v>300</v>
      </c>
      <c r="P105" s="6">
        <f>IF(AND(K105="Approved",L105&gt;=5000),MIN(O105,L105/1000*N105),0)</f>
        <v/>
      </c>
    </row>
    <row r="106">
      <c r="F106">
        <f>IFERROR(VLOOKUP(LEFT(E106,1),'03 Angle scoreboard'!A:B,2,FALSE),"")</f>
        <v/>
      </c>
      <c r="N106" t="n">
        <v>1</v>
      </c>
      <c r="O106" t="n">
        <v>300</v>
      </c>
      <c r="P106" s="6">
        <f>IF(AND(K106="Approved",L106&gt;=5000),MIN(O106,L106/1000*N106),0)</f>
        <v/>
      </c>
    </row>
    <row r="107">
      <c r="F107">
        <f>IFERROR(VLOOKUP(LEFT(E107,1),'03 Angle scoreboard'!A:B,2,FALSE),"")</f>
        <v/>
      </c>
      <c r="N107" t="n">
        <v>1</v>
      </c>
      <c r="O107" t="n">
        <v>300</v>
      </c>
      <c r="P107" s="6">
        <f>IF(AND(K107="Approved",L107&gt;=5000),MIN(O107,L107/1000*N107),0)</f>
        <v/>
      </c>
    </row>
    <row r="108">
      <c r="F108">
        <f>IFERROR(VLOOKUP(LEFT(E108,1),'03 Angle scoreboard'!A:B,2,FALSE),"")</f>
        <v/>
      </c>
      <c r="N108" t="n">
        <v>1</v>
      </c>
      <c r="O108" t="n">
        <v>300</v>
      </c>
      <c r="P108" s="6">
        <f>IF(AND(K108="Approved",L108&gt;=5000),MIN(O108,L108/1000*N108),0)</f>
        <v/>
      </c>
    </row>
    <row r="109">
      <c r="F109">
        <f>IFERROR(VLOOKUP(LEFT(E109,1),'03 Angle scoreboard'!A:B,2,FALSE),"")</f>
        <v/>
      </c>
      <c r="N109" t="n">
        <v>1</v>
      </c>
      <c r="O109" t="n">
        <v>300</v>
      </c>
      <c r="P109" s="6">
        <f>IF(AND(K109="Approved",L109&gt;=5000),MIN(O109,L109/1000*N109),0)</f>
        <v/>
      </c>
    </row>
    <row r="110">
      <c r="F110">
        <f>IFERROR(VLOOKUP(LEFT(E110,1),'03 Angle scoreboard'!A:B,2,FALSE),"")</f>
        <v/>
      </c>
      <c r="N110" t="n">
        <v>1</v>
      </c>
      <c r="O110" t="n">
        <v>300</v>
      </c>
      <c r="P110" s="6">
        <f>IF(AND(K110="Approved",L110&gt;=5000),MIN(O110,L110/1000*N110),0)</f>
        <v/>
      </c>
    </row>
    <row r="111">
      <c r="F111">
        <f>IFERROR(VLOOKUP(LEFT(E111,1),'03 Angle scoreboard'!A:B,2,FALSE),"")</f>
        <v/>
      </c>
      <c r="N111" t="n">
        <v>1</v>
      </c>
      <c r="O111" t="n">
        <v>300</v>
      </c>
      <c r="P111" s="6">
        <f>IF(AND(K111="Approved",L111&gt;=5000),MIN(O111,L111/1000*N111),0)</f>
        <v/>
      </c>
    </row>
    <row r="112">
      <c r="F112">
        <f>IFERROR(VLOOKUP(LEFT(E112,1),'03 Angle scoreboard'!A:B,2,FALSE),"")</f>
        <v/>
      </c>
      <c r="N112" t="n">
        <v>1</v>
      </c>
      <c r="O112" t="n">
        <v>300</v>
      </c>
      <c r="P112" s="6">
        <f>IF(AND(K112="Approved",L112&gt;=5000),MIN(O112,L112/1000*N112),0)</f>
        <v/>
      </c>
    </row>
    <row r="113">
      <c r="F113">
        <f>IFERROR(VLOOKUP(LEFT(E113,1),'03 Angle scoreboard'!A:B,2,FALSE),"")</f>
        <v/>
      </c>
      <c r="N113" t="n">
        <v>1</v>
      </c>
      <c r="O113" t="n">
        <v>300</v>
      </c>
      <c r="P113" s="6">
        <f>IF(AND(K113="Approved",L113&gt;=5000),MIN(O113,L113/1000*N113),0)</f>
        <v/>
      </c>
    </row>
    <row r="114">
      <c r="F114">
        <f>IFERROR(VLOOKUP(LEFT(E114,1),'03 Angle scoreboard'!A:B,2,FALSE),"")</f>
        <v/>
      </c>
      <c r="N114" t="n">
        <v>1</v>
      </c>
      <c r="O114" t="n">
        <v>300</v>
      </c>
      <c r="P114" s="6">
        <f>IF(AND(K114="Approved",L114&gt;=5000),MIN(O114,L114/1000*N114),0)</f>
        <v/>
      </c>
    </row>
    <row r="115">
      <c r="F115">
        <f>IFERROR(VLOOKUP(LEFT(E115,1),'03 Angle scoreboard'!A:B,2,FALSE),"")</f>
        <v/>
      </c>
      <c r="N115" t="n">
        <v>1</v>
      </c>
      <c r="O115" t="n">
        <v>300</v>
      </c>
      <c r="P115" s="6">
        <f>IF(AND(K115="Approved",L115&gt;=5000),MIN(O115,L115/1000*N115),0)</f>
        <v/>
      </c>
    </row>
    <row r="116">
      <c r="F116">
        <f>IFERROR(VLOOKUP(LEFT(E116,1),'03 Angle scoreboard'!A:B,2,FALSE),"")</f>
        <v/>
      </c>
      <c r="N116" t="n">
        <v>1</v>
      </c>
      <c r="O116" t="n">
        <v>300</v>
      </c>
      <c r="P116" s="6">
        <f>IF(AND(K116="Approved",L116&gt;=5000),MIN(O116,L116/1000*N116),0)</f>
        <v/>
      </c>
    </row>
    <row r="117">
      <c r="F117">
        <f>IFERROR(VLOOKUP(LEFT(E117,1),'03 Angle scoreboard'!A:B,2,FALSE),"")</f>
        <v/>
      </c>
      <c r="N117" t="n">
        <v>1</v>
      </c>
      <c r="O117" t="n">
        <v>300</v>
      </c>
      <c r="P117" s="6">
        <f>IF(AND(K117="Approved",L117&gt;=5000),MIN(O117,L117/1000*N117),0)</f>
        <v/>
      </c>
    </row>
    <row r="118">
      <c r="F118">
        <f>IFERROR(VLOOKUP(LEFT(E118,1),'03 Angle scoreboard'!A:B,2,FALSE),"")</f>
        <v/>
      </c>
      <c r="N118" t="n">
        <v>1</v>
      </c>
      <c r="O118" t="n">
        <v>300</v>
      </c>
      <c r="P118" s="6">
        <f>IF(AND(K118="Approved",L118&gt;=5000),MIN(O118,L118/1000*N118),0)</f>
        <v/>
      </c>
    </row>
    <row r="119">
      <c r="F119">
        <f>IFERROR(VLOOKUP(LEFT(E119,1),'03 Angle scoreboard'!A:B,2,FALSE),"")</f>
        <v/>
      </c>
      <c r="N119" t="n">
        <v>1</v>
      </c>
      <c r="O119" t="n">
        <v>300</v>
      </c>
      <c r="P119" s="6">
        <f>IF(AND(K119="Approved",L119&gt;=5000),MIN(O119,L119/1000*N119),0)</f>
        <v/>
      </c>
    </row>
    <row r="120">
      <c r="F120">
        <f>IFERROR(VLOOKUP(LEFT(E120,1),'03 Angle scoreboard'!A:B,2,FALSE),"")</f>
        <v/>
      </c>
      <c r="N120" t="n">
        <v>1</v>
      </c>
      <c r="O120" t="n">
        <v>300</v>
      </c>
      <c r="P120" s="6">
        <f>IF(AND(K120="Approved",L120&gt;=5000),MIN(O120,L120/1000*N120),0)</f>
        <v/>
      </c>
    </row>
    <row r="121">
      <c r="F121">
        <f>IFERROR(VLOOKUP(LEFT(E121,1),'03 Angle scoreboard'!A:B,2,FALSE),"")</f>
        <v/>
      </c>
      <c r="N121" t="n">
        <v>1</v>
      </c>
      <c r="O121" t="n">
        <v>300</v>
      </c>
      <c r="P121" s="6">
        <f>IF(AND(K121="Approved",L121&gt;=5000),MIN(O121,L121/1000*N121),0)</f>
        <v/>
      </c>
    </row>
    <row r="122">
      <c r="F122">
        <f>IFERROR(VLOOKUP(LEFT(E122,1),'03 Angle scoreboard'!A:B,2,FALSE),"")</f>
        <v/>
      </c>
      <c r="N122" t="n">
        <v>1</v>
      </c>
      <c r="O122" t="n">
        <v>300</v>
      </c>
      <c r="P122" s="6">
        <f>IF(AND(K122="Approved",L122&gt;=5000),MIN(O122,L122/1000*N122),0)</f>
        <v/>
      </c>
    </row>
    <row r="123">
      <c r="F123">
        <f>IFERROR(VLOOKUP(LEFT(E123,1),'03 Angle scoreboard'!A:B,2,FALSE),"")</f>
        <v/>
      </c>
      <c r="N123" t="n">
        <v>1</v>
      </c>
      <c r="O123" t="n">
        <v>300</v>
      </c>
      <c r="P123" s="6">
        <f>IF(AND(K123="Approved",L123&gt;=5000),MIN(O123,L123/1000*N123),0)</f>
        <v/>
      </c>
    </row>
    <row r="124">
      <c r="F124">
        <f>IFERROR(VLOOKUP(LEFT(E124,1),'03 Angle scoreboard'!A:B,2,FALSE),"")</f>
        <v/>
      </c>
      <c r="N124" t="n">
        <v>1</v>
      </c>
      <c r="O124" t="n">
        <v>300</v>
      </c>
      <c r="P124" s="6">
        <f>IF(AND(K124="Approved",L124&gt;=5000),MIN(O124,L124/1000*N124),0)</f>
        <v/>
      </c>
    </row>
    <row r="125">
      <c r="F125">
        <f>IFERROR(VLOOKUP(LEFT(E125,1),'03 Angle scoreboard'!A:B,2,FALSE),"")</f>
        <v/>
      </c>
      <c r="N125" t="n">
        <v>1</v>
      </c>
      <c r="O125" t="n">
        <v>300</v>
      </c>
      <c r="P125" s="6">
        <f>IF(AND(K125="Approved",L125&gt;=5000),MIN(O125,L125/1000*N125),0)</f>
        <v/>
      </c>
    </row>
    <row r="126">
      <c r="F126">
        <f>IFERROR(VLOOKUP(LEFT(E126,1),'03 Angle scoreboard'!A:B,2,FALSE),"")</f>
        <v/>
      </c>
      <c r="N126" t="n">
        <v>1</v>
      </c>
      <c r="O126" t="n">
        <v>300</v>
      </c>
      <c r="P126" s="6">
        <f>IF(AND(K126="Approved",L126&gt;=5000),MIN(O126,L126/1000*N126),0)</f>
        <v/>
      </c>
    </row>
    <row r="127">
      <c r="F127">
        <f>IFERROR(VLOOKUP(LEFT(E127,1),'03 Angle scoreboard'!A:B,2,FALSE),"")</f>
        <v/>
      </c>
      <c r="N127" t="n">
        <v>1</v>
      </c>
      <c r="O127" t="n">
        <v>300</v>
      </c>
      <c r="P127" s="6">
        <f>IF(AND(K127="Approved",L127&gt;=5000),MIN(O127,L127/1000*N127),0)</f>
        <v/>
      </c>
    </row>
    <row r="128">
      <c r="F128">
        <f>IFERROR(VLOOKUP(LEFT(E128,1),'03 Angle scoreboard'!A:B,2,FALSE),"")</f>
        <v/>
      </c>
      <c r="N128" t="n">
        <v>1</v>
      </c>
      <c r="O128" t="n">
        <v>300</v>
      </c>
      <c r="P128" s="6">
        <f>IF(AND(K128="Approved",L128&gt;=5000),MIN(O128,L128/1000*N128),0)</f>
        <v/>
      </c>
    </row>
    <row r="129">
      <c r="F129">
        <f>IFERROR(VLOOKUP(LEFT(E129,1),'03 Angle scoreboard'!A:B,2,FALSE),"")</f>
        <v/>
      </c>
      <c r="N129" t="n">
        <v>1</v>
      </c>
      <c r="O129" t="n">
        <v>300</v>
      </c>
      <c r="P129" s="6">
        <f>IF(AND(K129="Approved",L129&gt;=5000),MIN(O129,L129/1000*N129),0)</f>
        <v/>
      </c>
    </row>
    <row r="130">
      <c r="F130">
        <f>IFERROR(VLOOKUP(LEFT(E130,1),'03 Angle scoreboard'!A:B,2,FALSE),"")</f>
        <v/>
      </c>
      <c r="N130" t="n">
        <v>1</v>
      </c>
      <c r="O130" t="n">
        <v>300</v>
      </c>
      <c r="P130" s="6">
        <f>IF(AND(K130="Approved",L130&gt;=5000),MIN(O130,L130/1000*N130),0)</f>
        <v/>
      </c>
    </row>
    <row r="131">
      <c r="F131">
        <f>IFERROR(VLOOKUP(LEFT(E131,1),'03 Angle scoreboard'!A:B,2,FALSE),"")</f>
        <v/>
      </c>
      <c r="N131" t="n">
        <v>1</v>
      </c>
      <c r="O131" t="n">
        <v>300</v>
      </c>
      <c r="P131" s="6">
        <f>IF(AND(K131="Approved",L131&gt;=5000),MIN(O131,L131/1000*N131),0)</f>
        <v/>
      </c>
    </row>
    <row r="132">
      <c r="F132">
        <f>IFERROR(VLOOKUP(LEFT(E132,1),'03 Angle scoreboard'!A:B,2,FALSE),"")</f>
        <v/>
      </c>
      <c r="N132" t="n">
        <v>1</v>
      </c>
      <c r="O132" t="n">
        <v>300</v>
      </c>
      <c r="P132" s="6">
        <f>IF(AND(K132="Approved",L132&gt;=5000),MIN(O132,L132/1000*N132),0)</f>
        <v/>
      </c>
    </row>
    <row r="133">
      <c r="F133">
        <f>IFERROR(VLOOKUP(LEFT(E133,1),'03 Angle scoreboard'!A:B,2,FALSE),"")</f>
        <v/>
      </c>
      <c r="N133" t="n">
        <v>1</v>
      </c>
      <c r="O133" t="n">
        <v>300</v>
      </c>
      <c r="P133" s="6">
        <f>IF(AND(K133="Approved",L133&gt;=5000),MIN(O133,L133/1000*N133),0)</f>
        <v/>
      </c>
    </row>
    <row r="134">
      <c r="F134">
        <f>IFERROR(VLOOKUP(LEFT(E134,1),'03 Angle scoreboard'!A:B,2,FALSE),"")</f>
        <v/>
      </c>
      <c r="N134" t="n">
        <v>1</v>
      </c>
      <c r="O134" t="n">
        <v>300</v>
      </c>
      <c r="P134" s="6">
        <f>IF(AND(K134="Approved",L134&gt;=5000),MIN(O134,L134/1000*N134),0)</f>
        <v/>
      </c>
    </row>
    <row r="135">
      <c r="F135">
        <f>IFERROR(VLOOKUP(LEFT(E135,1),'03 Angle scoreboard'!A:B,2,FALSE),"")</f>
        <v/>
      </c>
      <c r="N135" t="n">
        <v>1</v>
      </c>
      <c r="O135" t="n">
        <v>300</v>
      </c>
      <c r="P135" s="6">
        <f>IF(AND(K135="Approved",L135&gt;=5000),MIN(O135,L135/1000*N135),0)</f>
        <v/>
      </c>
    </row>
    <row r="136">
      <c r="F136">
        <f>IFERROR(VLOOKUP(LEFT(E136,1),'03 Angle scoreboard'!A:B,2,FALSE),"")</f>
        <v/>
      </c>
      <c r="N136" t="n">
        <v>1</v>
      </c>
      <c r="O136" t="n">
        <v>300</v>
      </c>
      <c r="P136" s="6">
        <f>IF(AND(K136="Approved",L136&gt;=5000),MIN(O136,L136/1000*N136),0)</f>
        <v/>
      </c>
    </row>
    <row r="137">
      <c r="F137">
        <f>IFERROR(VLOOKUP(LEFT(E137,1),'03 Angle scoreboard'!A:B,2,FALSE),"")</f>
        <v/>
      </c>
      <c r="N137" t="n">
        <v>1</v>
      </c>
      <c r="O137" t="n">
        <v>300</v>
      </c>
      <c r="P137" s="6">
        <f>IF(AND(K137="Approved",L137&gt;=5000),MIN(O137,L137/1000*N137),0)</f>
        <v/>
      </c>
    </row>
    <row r="138">
      <c r="F138">
        <f>IFERROR(VLOOKUP(LEFT(E138,1),'03 Angle scoreboard'!A:B,2,FALSE),"")</f>
        <v/>
      </c>
      <c r="N138" t="n">
        <v>1</v>
      </c>
      <c r="O138" t="n">
        <v>300</v>
      </c>
      <c r="P138" s="6">
        <f>IF(AND(K138="Approved",L138&gt;=5000),MIN(O138,L138/1000*N138),0)</f>
        <v/>
      </c>
    </row>
    <row r="139">
      <c r="F139">
        <f>IFERROR(VLOOKUP(LEFT(E139,1),'03 Angle scoreboard'!A:B,2,FALSE),"")</f>
        <v/>
      </c>
      <c r="N139" t="n">
        <v>1</v>
      </c>
      <c r="O139" t="n">
        <v>300</v>
      </c>
      <c r="P139" s="6">
        <f>IF(AND(K139="Approved",L139&gt;=5000),MIN(O139,L139/1000*N139),0)</f>
        <v/>
      </c>
    </row>
    <row r="140">
      <c r="F140">
        <f>IFERROR(VLOOKUP(LEFT(E140,1),'03 Angle scoreboard'!A:B,2,FALSE),"")</f>
        <v/>
      </c>
      <c r="N140" t="n">
        <v>1</v>
      </c>
      <c r="O140" t="n">
        <v>300</v>
      </c>
      <c r="P140" s="6">
        <f>IF(AND(K140="Approved",L140&gt;=5000),MIN(O140,L140/1000*N140),0)</f>
        <v/>
      </c>
    </row>
    <row r="141">
      <c r="F141">
        <f>IFERROR(VLOOKUP(LEFT(E141,1),'03 Angle scoreboard'!A:B,2,FALSE),"")</f>
        <v/>
      </c>
      <c r="N141" t="n">
        <v>1</v>
      </c>
      <c r="O141" t="n">
        <v>300</v>
      </c>
      <c r="P141" s="6">
        <f>IF(AND(K141="Approved",L141&gt;=5000),MIN(O141,L141/1000*N141),0)</f>
        <v/>
      </c>
    </row>
    <row r="142">
      <c r="F142">
        <f>IFERROR(VLOOKUP(LEFT(E142,1),'03 Angle scoreboard'!A:B,2,FALSE),"")</f>
        <v/>
      </c>
      <c r="N142" t="n">
        <v>1</v>
      </c>
      <c r="O142" t="n">
        <v>300</v>
      </c>
      <c r="P142" s="6">
        <f>IF(AND(K142="Approved",L142&gt;=5000),MIN(O142,L142/1000*N142),0)</f>
        <v/>
      </c>
    </row>
    <row r="143">
      <c r="F143">
        <f>IFERROR(VLOOKUP(LEFT(E143,1),'03 Angle scoreboard'!A:B,2,FALSE),"")</f>
        <v/>
      </c>
      <c r="N143" t="n">
        <v>1</v>
      </c>
      <c r="O143" t="n">
        <v>300</v>
      </c>
      <c r="P143" s="6">
        <f>IF(AND(K143="Approved",L143&gt;=5000),MIN(O143,L143/1000*N143),0)</f>
        <v/>
      </c>
    </row>
    <row r="144">
      <c r="F144">
        <f>IFERROR(VLOOKUP(LEFT(E144,1),'03 Angle scoreboard'!A:B,2,FALSE),"")</f>
        <v/>
      </c>
      <c r="N144" t="n">
        <v>1</v>
      </c>
      <c r="O144" t="n">
        <v>300</v>
      </c>
      <c r="P144" s="6">
        <f>IF(AND(K144="Approved",L144&gt;=5000),MIN(O144,L144/1000*N144),0)</f>
        <v/>
      </c>
    </row>
    <row r="145">
      <c r="F145">
        <f>IFERROR(VLOOKUP(LEFT(E145,1),'03 Angle scoreboard'!A:B,2,FALSE),"")</f>
        <v/>
      </c>
      <c r="N145" t="n">
        <v>1</v>
      </c>
      <c r="O145" t="n">
        <v>300</v>
      </c>
      <c r="P145" s="6">
        <f>IF(AND(K145="Approved",L145&gt;=5000),MIN(O145,L145/1000*N145),0)</f>
        <v/>
      </c>
    </row>
    <row r="146">
      <c r="F146">
        <f>IFERROR(VLOOKUP(LEFT(E146,1),'03 Angle scoreboard'!A:B,2,FALSE),"")</f>
        <v/>
      </c>
      <c r="N146" t="n">
        <v>1</v>
      </c>
      <c r="O146" t="n">
        <v>300</v>
      </c>
      <c r="P146" s="6">
        <f>IF(AND(K146="Approved",L146&gt;=5000),MIN(O146,L146/1000*N146),0)</f>
        <v/>
      </c>
    </row>
    <row r="147">
      <c r="F147">
        <f>IFERROR(VLOOKUP(LEFT(E147,1),'03 Angle scoreboard'!A:B,2,FALSE),"")</f>
        <v/>
      </c>
      <c r="N147" t="n">
        <v>1</v>
      </c>
      <c r="O147" t="n">
        <v>300</v>
      </c>
      <c r="P147" s="6">
        <f>IF(AND(K147="Approved",L147&gt;=5000),MIN(O147,L147/1000*N147),0)</f>
        <v/>
      </c>
    </row>
    <row r="148">
      <c r="F148">
        <f>IFERROR(VLOOKUP(LEFT(E148,1),'03 Angle scoreboard'!A:B,2,FALSE),"")</f>
        <v/>
      </c>
      <c r="N148" t="n">
        <v>1</v>
      </c>
      <c r="O148" t="n">
        <v>300</v>
      </c>
      <c r="P148" s="6">
        <f>IF(AND(K148="Approved",L148&gt;=5000),MIN(O148,L148/1000*N148),0)</f>
        <v/>
      </c>
    </row>
    <row r="149">
      <c r="F149">
        <f>IFERROR(VLOOKUP(LEFT(E149,1),'03 Angle scoreboard'!A:B,2,FALSE),"")</f>
        <v/>
      </c>
      <c r="N149" t="n">
        <v>1</v>
      </c>
      <c r="O149" t="n">
        <v>300</v>
      </c>
      <c r="P149" s="6">
        <f>IF(AND(K149="Approved",L149&gt;=5000),MIN(O149,L149/1000*N149),0)</f>
        <v/>
      </c>
    </row>
    <row r="150">
      <c r="F150">
        <f>IFERROR(VLOOKUP(LEFT(E150,1),'03 Angle scoreboard'!A:B,2,FALSE),"")</f>
        <v/>
      </c>
      <c r="N150" t="n">
        <v>1</v>
      </c>
      <c r="O150" t="n">
        <v>300</v>
      </c>
      <c r="P150" s="6">
        <f>IF(AND(K150="Approved",L150&gt;=5000),MIN(O150,L150/1000*N150),0)</f>
        <v/>
      </c>
    </row>
    <row r="151">
      <c r="F151">
        <f>IFERROR(VLOOKUP(LEFT(E151,1),'03 Angle scoreboard'!A:B,2,FALSE),"")</f>
        <v/>
      </c>
      <c r="N151" t="n">
        <v>1</v>
      </c>
      <c r="O151" t="n">
        <v>300</v>
      </c>
      <c r="P151" s="6">
        <f>IF(AND(K151="Approved",L151&gt;=5000),MIN(O151,L151/1000*N151),0)</f>
        <v/>
      </c>
    </row>
    <row r="152">
      <c r="F152">
        <f>IFERROR(VLOOKUP(LEFT(E152,1),'03 Angle scoreboard'!A:B,2,FALSE),"")</f>
        <v/>
      </c>
      <c r="N152" t="n">
        <v>1</v>
      </c>
      <c r="O152" t="n">
        <v>300</v>
      </c>
      <c r="P152" s="6">
        <f>IF(AND(K152="Approved",L152&gt;=5000),MIN(O152,L152/1000*N152),0)</f>
        <v/>
      </c>
    </row>
    <row r="153">
      <c r="F153">
        <f>IFERROR(VLOOKUP(LEFT(E153,1),'03 Angle scoreboard'!A:B,2,FALSE),"")</f>
        <v/>
      </c>
      <c r="N153" t="n">
        <v>1</v>
      </c>
      <c r="O153" t="n">
        <v>300</v>
      </c>
      <c r="P153" s="6">
        <f>IF(AND(K153="Approved",L153&gt;=5000),MIN(O153,L153/1000*N153),0)</f>
        <v/>
      </c>
    </row>
    <row r="154">
      <c r="F154">
        <f>IFERROR(VLOOKUP(LEFT(E154,1),'03 Angle scoreboard'!A:B,2,FALSE),"")</f>
        <v/>
      </c>
      <c r="N154" t="n">
        <v>1</v>
      </c>
      <c r="O154" t="n">
        <v>300</v>
      </c>
      <c r="P154" s="6">
        <f>IF(AND(K154="Approved",L154&gt;=5000),MIN(O154,L154/1000*N154),0)</f>
        <v/>
      </c>
    </row>
    <row r="155">
      <c r="F155">
        <f>IFERROR(VLOOKUP(LEFT(E155,1),'03 Angle scoreboard'!A:B,2,FALSE),"")</f>
        <v/>
      </c>
      <c r="N155" t="n">
        <v>1</v>
      </c>
      <c r="O155" t="n">
        <v>300</v>
      </c>
      <c r="P155" s="6">
        <f>IF(AND(K155="Approved",L155&gt;=5000),MIN(O155,L155/1000*N155),0)</f>
        <v/>
      </c>
    </row>
    <row r="156">
      <c r="F156">
        <f>IFERROR(VLOOKUP(LEFT(E156,1),'03 Angle scoreboard'!A:B,2,FALSE),"")</f>
        <v/>
      </c>
      <c r="N156" t="n">
        <v>1</v>
      </c>
      <c r="O156" t="n">
        <v>300</v>
      </c>
      <c r="P156" s="6">
        <f>IF(AND(K156="Approved",L156&gt;=5000),MIN(O156,L156/1000*N156),0)</f>
        <v/>
      </c>
    </row>
    <row r="157">
      <c r="F157">
        <f>IFERROR(VLOOKUP(LEFT(E157,1),'03 Angle scoreboard'!A:B,2,FALSE),"")</f>
        <v/>
      </c>
      <c r="N157" t="n">
        <v>1</v>
      </c>
      <c r="O157" t="n">
        <v>300</v>
      </c>
      <c r="P157" s="6">
        <f>IF(AND(K157="Approved",L157&gt;=5000),MIN(O157,L157/1000*N157),0)</f>
        <v/>
      </c>
    </row>
    <row r="158">
      <c r="F158">
        <f>IFERROR(VLOOKUP(LEFT(E158,1),'03 Angle scoreboard'!A:B,2,FALSE),"")</f>
        <v/>
      </c>
      <c r="N158" t="n">
        <v>1</v>
      </c>
      <c r="O158" t="n">
        <v>300</v>
      </c>
      <c r="P158" s="6">
        <f>IF(AND(K158="Approved",L158&gt;=5000),MIN(O158,L158/1000*N158),0)</f>
        <v/>
      </c>
    </row>
    <row r="159">
      <c r="F159">
        <f>IFERROR(VLOOKUP(LEFT(E159,1),'03 Angle scoreboard'!A:B,2,FALSE),"")</f>
        <v/>
      </c>
      <c r="N159" t="n">
        <v>1</v>
      </c>
      <c r="O159" t="n">
        <v>300</v>
      </c>
      <c r="P159" s="6">
        <f>IF(AND(K159="Approved",L159&gt;=5000),MIN(O159,L159/1000*N159),0)</f>
        <v/>
      </c>
    </row>
    <row r="160">
      <c r="F160">
        <f>IFERROR(VLOOKUP(LEFT(E160,1),'03 Angle scoreboard'!A:B,2,FALSE),"")</f>
        <v/>
      </c>
      <c r="N160" t="n">
        <v>1</v>
      </c>
      <c r="O160" t="n">
        <v>300</v>
      </c>
      <c r="P160" s="6">
        <f>IF(AND(K160="Approved",L160&gt;=5000),MIN(O160,L160/1000*N160),0)</f>
        <v/>
      </c>
    </row>
    <row r="161">
      <c r="F161">
        <f>IFERROR(VLOOKUP(LEFT(E161,1),'03 Angle scoreboard'!A:B,2,FALSE),"")</f>
        <v/>
      </c>
      <c r="N161" t="n">
        <v>1</v>
      </c>
      <c r="O161" t="n">
        <v>300</v>
      </c>
      <c r="P161" s="6">
        <f>IF(AND(K161="Approved",L161&gt;=5000),MIN(O161,L161/1000*N161),0)</f>
        <v/>
      </c>
    </row>
    <row r="162">
      <c r="F162">
        <f>IFERROR(VLOOKUP(LEFT(E162,1),'03 Angle scoreboard'!A:B,2,FALSE),"")</f>
        <v/>
      </c>
      <c r="N162" t="n">
        <v>1</v>
      </c>
      <c r="O162" t="n">
        <v>300</v>
      </c>
      <c r="P162" s="6">
        <f>IF(AND(K162="Approved",L162&gt;=5000),MIN(O162,L162/1000*N162),0)</f>
        <v/>
      </c>
    </row>
    <row r="163">
      <c r="F163">
        <f>IFERROR(VLOOKUP(LEFT(E163,1),'03 Angle scoreboard'!A:B,2,FALSE),"")</f>
        <v/>
      </c>
      <c r="N163" t="n">
        <v>1</v>
      </c>
      <c r="O163" t="n">
        <v>300</v>
      </c>
      <c r="P163" s="6">
        <f>IF(AND(K163="Approved",L163&gt;=5000),MIN(O163,L163/1000*N163),0)</f>
        <v/>
      </c>
    </row>
    <row r="164">
      <c r="F164">
        <f>IFERROR(VLOOKUP(LEFT(E164,1),'03 Angle scoreboard'!A:B,2,FALSE),"")</f>
        <v/>
      </c>
      <c r="N164" t="n">
        <v>1</v>
      </c>
      <c r="O164" t="n">
        <v>300</v>
      </c>
      <c r="P164" s="6">
        <f>IF(AND(K164="Approved",L164&gt;=5000),MIN(O164,L164/1000*N164),0)</f>
        <v/>
      </c>
    </row>
    <row r="165">
      <c r="F165">
        <f>IFERROR(VLOOKUP(LEFT(E165,1),'03 Angle scoreboard'!A:B,2,FALSE),"")</f>
        <v/>
      </c>
      <c r="N165" t="n">
        <v>1</v>
      </c>
      <c r="O165" t="n">
        <v>300</v>
      </c>
      <c r="P165" s="6">
        <f>IF(AND(K165="Approved",L165&gt;=5000),MIN(O165,L165/1000*N165),0)</f>
        <v/>
      </c>
    </row>
    <row r="166">
      <c r="F166">
        <f>IFERROR(VLOOKUP(LEFT(E166,1),'03 Angle scoreboard'!A:B,2,FALSE),"")</f>
        <v/>
      </c>
      <c r="N166" t="n">
        <v>1</v>
      </c>
      <c r="O166" t="n">
        <v>300</v>
      </c>
      <c r="P166" s="6">
        <f>IF(AND(K166="Approved",L166&gt;=5000),MIN(O166,L166/1000*N166),0)</f>
        <v/>
      </c>
    </row>
    <row r="167">
      <c r="F167">
        <f>IFERROR(VLOOKUP(LEFT(E167,1),'03 Angle scoreboard'!A:B,2,FALSE),"")</f>
        <v/>
      </c>
      <c r="N167" t="n">
        <v>1</v>
      </c>
      <c r="O167" t="n">
        <v>300</v>
      </c>
      <c r="P167" s="6">
        <f>IF(AND(K167="Approved",L167&gt;=5000),MIN(O167,L167/1000*N167),0)</f>
        <v/>
      </c>
    </row>
    <row r="168">
      <c r="F168">
        <f>IFERROR(VLOOKUP(LEFT(E168,1),'03 Angle scoreboard'!A:B,2,FALSE),"")</f>
        <v/>
      </c>
      <c r="N168" t="n">
        <v>1</v>
      </c>
      <c r="O168" t="n">
        <v>300</v>
      </c>
      <c r="P168" s="6">
        <f>IF(AND(K168="Approved",L168&gt;=5000),MIN(O168,L168/1000*N168),0)</f>
        <v/>
      </c>
    </row>
    <row r="169">
      <c r="F169">
        <f>IFERROR(VLOOKUP(LEFT(E169,1),'03 Angle scoreboard'!A:B,2,FALSE),"")</f>
        <v/>
      </c>
      <c r="N169" t="n">
        <v>1</v>
      </c>
      <c r="O169" t="n">
        <v>300</v>
      </c>
      <c r="P169" s="6">
        <f>IF(AND(K169="Approved",L169&gt;=5000),MIN(O169,L169/1000*N169),0)</f>
        <v/>
      </c>
    </row>
    <row r="170">
      <c r="F170">
        <f>IFERROR(VLOOKUP(LEFT(E170,1),'03 Angle scoreboard'!A:B,2,FALSE),"")</f>
        <v/>
      </c>
      <c r="N170" t="n">
        <v>1</v>
      </c>
      <c r="O170" t="n">
        <v>300</v>
      </c>
      <c r="P170" s="6">
        <f>IF(AND(K170="Approved",L170&gt;=5000),MIN(O170,L170/1000*N170),0)</f>
        <v/>
      </c>
    </row>
    <row r="171">
      <c r="F171">
        <f>IFERROR(VLOOKUP(LEFT(E171,1),'03 Angle scoreboard'!A:B,2,FALSE),"")</f>
        <v/>
      </c>
      <c r="N171" t="n">
        <v>1</v>
      </c>
      <c r="O171" t="n">
        <v>300</v>
      </c>
      <c r="P171" s="6">
        <f>IF(AND(K171="Approved",L171&gt;=5000),MIN(O171,L171/1000*N171),0)</f>
        <v/>
      </c>
    </row>
    <row r="172">
      <c r="F172">
        <f>IFERROR(VLOOKUP(LEFT(E172,1),'03 Angle scoreboard'!A:B,2,FALSE),"")</f>
        <v/>
      </c>
      <c r="N172" t="n">
        <v>1</v>
      </c>
      <c r="O172" t="n">
        <v>300</v>
      </c>
      <c r="P172" s="6">
        <f>IF(AND(K172="Approved",L172&gt;=5000),MIN(O172,L172/1000*N172),0)</f>
        <v/>
      </c>
    </row>
    <row r="173">
      <c r="F173">
        <f>IFERROR(VLOOKUP(LEFT(E173,1),'03 Angle scoreboard'!A:B,2,FALSE),"")</f>
        <v/>
      </c>
      <c r="N173" t="n">
        <v>1</v>
      </c>
      <c r="O173" t="n">
        <v>300</v>
      </c>
      <c r="P173" s="6">
        <f>IF(AND(K173="Approved",L173&gt;=5000),MIN(O173,L173/1000*N173),0)</f>
        <v/>
      </c>
    </row>
    <row r="174">
      <c r="F174">
        <f>IFERROR(VLOOKUP(LEFT(E174,1),'03 Angle scoreboard'!A:B,2,FALSE),"")</f>
        <v/>
      </c>
      <c r="N174" t="n">
        <v>1</v>
      </c>
      <c r="O174" t="n">
        <v>300</v>
      </c>
      <c r="P174" s="6">
        <f>IF(AND(K174="Approved",L174&gt;=5000),MIN(O174,L174/1000*N174),0)</f>
        <v/>
      </c>
    </row>
    <row r="175">
      <c r="F175">
        <f>IFERROR(VLOOKUP(LEFT(E175,1),'03 Angle scoreboard'!A:B,2,FALSE),"")</f>
        <v/>
      </c>
      <c r="N175" t="n">
        <v>1</v>
      </c>
      <c r="O175" t="n">
        <v>300</v>
      </c>
      <c r="P175" s="6">
        <f>IF(AND(K175="Approved",L175&gt;=5000),MIN(O175,L175/1000*N175),0)</f>
        <v/>
      </c>
    </row>
    <row r="176">
      <c r="F176">
        <f>IFERROR(VLOOKUP(LEFT(E176,1),'03 Angle scoreboard'!A:B,2,FALSE),"")</f>
        <v/>
      </c>
      <c r="N176" t="n">
        <v>1</v>
      </c>
      <c r="O176" t="n">
        <v>300</v>
      </c>
      <c r="P176" s="6">
        <f>IF(AND(K176="Approved",L176&gt;=5000),MIN(O176,L176/1000*N176),0)</f>
        <v/>
      </c>
    </row>
    <row r="177">
      <c r="F177">
        <f>IFERROR(VLOOKUP(LEFT(E177,1),'03 Angle scoreboard'!A:B,2,FALSE),"")</f>
        <v/>
      </c>
      <c r="N177" t="n">
        <v>1</v>
      </c>
      <c r="O177" t="n">
        <v>300</v>
      </c>
      <c r="P177" s="6">
        <f>IF(AND(K177="Approved",L177&gt;=5000),MIN(O177,L177/1000*N177),0)</f>
        <v/>
      </c>
    </row>
    <row r="178">
      <c r="F178">
        <f>IFERROR(VLOOKUP(LEFT(E178,1),'03 Angle scoreboard'!A:B,2,FALSE),"")</f>
        <v/>
      </c>
      <c r="N178" t="n">
        <v>1</v>
      </c>
      <c r="O178" t="n">
        <v>300</v>
      </c>
      <c r="P178" s="6">
        <f>IF(AND(K178="Approved",L178&gt;=5000),MIN(O178,L178/1000*N178),0)</f>
        <v/>
      </c>
    </row>
    <row r="179">
      <c r="F179">
        <f>IFERROR(VLOOKUP(LEFT(E179,1),'03 Angle scoreboard'!A:B,2,FALSE),"")</f>
        <v/>
      </c>
      <c r="N179" t="n">
        <v>1</v>
      </c>
      <c r="O179" t="n">
        <v>300</v>
      </c>
      <c r="P179" s="6">
        <f>IF(AND(K179="Approved",L179&gt;=5000),MIN(O179,L179/1000*N179),0)</f>
        <v/>
      </c>
    </row>
    <row r="180">
      <c r="F180">
        <f>IFERROR(VLOOKUP(LEFT(E180,1),'03 Angle scoreboard'!A:B,2,FALSE),"")</f>
        <v/>
      </c>
      <c r="N180" t="n">
        <v>1</v>
      </c>
      <c r="O180" t="n">
        <v>300</v>
      </c>
      <c r="P180" s="6">
        <f>IF(AND(K180="Approved",L180&gt;=5000),MIN(O180,L180/1000*N180),0)</f>
        <v/>
      </c>
    </row>
    <row r="181">
      <c r="F181">
        <f>IFERROR(VLOOKUP(LEFT(E181,1),'03 Angle scoreboard'!A:B,2,FALSE),"")</f>
        <v/>
      </c>
      <c r="N181" t="n">
        <v>1</v>
      </c>
      <c r="O181" t="n">
        <v>300</v>
      </c>
      <c r="P181" s="6">
        <f>IF(AND(K181="Approved",L181&gt;=5000),MIN(O181,L181/1000*N181),0)</f>
        <v/>
      </c>
    </row>
    <row r="182">
      <c r="F182">
        <f>IFERROR(VLOOKUP(LEFT(E182,1),'03 Angle scoreboard'!A:B,2,FALSE),"")</f>
        <v/>
      </c>
      <c r="N182" t="n">
        <v>1</v>
      </c>
      <c r="O182" t="n">
        <v>300</v>
      </c>
      <c r="P182" s="6">
        <f>IF(AND(K182="Approved",L182&gt;=5000),MIN(O182,L182/1000*N182),0)</f>
        <v/>
      </c>
    </row>
    <row r="183">
      <c r="F183">
        <f>IFERROR(VLOOKUP(LEFT(E183,1),'03 Angle scoreboard'!A:B,2,FALSE),"")</f>
        <v/>
      </c>
      <c r="N183" t="n">
        <v>1</v>
      </c>
      <c r="O183" t="n">
        <v>300</v>
      </c>
      <c r="P183" s="6">
        <f>IF(AND(K183="Approved",L183&gt;=5000),MIN(O183,L183/1000*N183),0)</f>
        <v/>
      </c>
    </row>
    <row r="184">
      <c r="F184">
        <f>IFERROR(VLOOKUP(LEFT(E184,1),'03 Angle scoreboard'!A:B,2,FALSE),"")</f>
        <v/>
      </c>
      <c r="N184" t="n">
        <v>1</v>
      </c>
      <c r="O184" t="n">
        <v>300</v>
      </c>
      <c r="P184" s="6">
        <f>IF(AND(K184="Approved",L184&gt;=5000),MIN(O184,L184/1000*N184),0)</f>
        <v/>
      </c>
    </row>
    <row r="185">
      <c r="F185">
        <f>IFERROR(VLOOKUP(LEFT(E185,1),'03 Angle scoreboard'!A:B,2,FALSE),"")</f>
        <v/>
      </c>
      <c r="N185" t="n">
        <v>1</v>
      </c>
      <c r="O185" t="n">
        <v>300</v>
      </c>
      <c r="P185" s="6">
        <f>IF(AND(K185="Approved",L185&gt;=5000),MIN(O185,L185/1000*N185),0)</f>
        <v/>
      </c>
    </row>
    <row r="186">
      <c r="F186">
        <f>IFERROR(VLOOKUP(LEFT(E186,1),'03 Angle scoreboard'!A:B,2,FALSE),"")</f>
        <v/>
      </c>
      <c r="N186" t="n">
        <v>1</v>
      </c>
      <c r="O186" t="n">
        <v>300</v>
      </c>
      <c r="P186" s="6">
        <f>IF(AND(K186="Approved",L186&gt;=5000),MIN(O186,L186/1000*N186),0)</f>
        <v/>
      </c>
    </row>
    <row r="187">
      <c r="F187">
        <f>IFERROR(VLOOKUP(LEFT(E187,1),'03 Angle scoreboard'!A:B,2,FALSE),"")</f>
        <v/>
      </c>
      <c r="N187" t="n">
        <v>1</v>
      </c>
      <c r="O187" t="n">
        <v>300</v>
      </c>
      <c r="P187" s="6">
        <f>IF(AND(K187="Approved",L187&gt;=5000),MIN(O187,L187/1000*N187),0)</f>
        <v/>
      </c>
    </row>
    <row r="188">
      <c r="F188">
        <f>IFERROR(VLOOKUP(LEFT(E188,1),'03 Angle scoreboard'!A:B,2,FALSE),"")</f>
        <v/>
      </c>
      <c r="N188" t="n">
        <v>1</v>
      </c>
      <c r="O188" t="n">
        <v>300</v>
      </c>
      <c r="P188" s="6">
        <f>IF(AND(K188="Approved",L188&gt;=5000),MIN(O188,L188/1000*N188),0)</f>
        <v/>
      </c>
    </row>
    <row r="189">
      <c r="F189">
        <f>IFERROR(VLOOKUP(LEFT(E189,1),'03 Angle scoreboard'!A:B,2,FALSE),"")</f>
        <v/>
      </c>
      <c r="N189" t="n">
        <v>1</v>
      </c>
      <c r="O189" t="n">
        <v>300</v>
      </c>
      <c r="P189" s="6">
        <f>IF(AND(K189="Approved",L189&gt;=5000),MIN(O189,L189/1000*N189),0)</f>
        <v/>
      </c>
    </row>
    <row r="190">
      <c r="F190">
        <f>IFERROR(VLOOKUP(LEFT(E190,1),'03 Angle scoreboard'!A:B,2,FALSE),"")</f>
        <v/>
      </c>
      <c r="N190" t="n">
        <v>1</v>
      </c>
      <c r="O190" t="n">
        <v>300</v>
      </c>
      <c r="P190" s="6">
        <f>IF(AND(K190="Approved",L190&gt;=5000),MIN(O190,L190/1000*N190),0)</f>
        <v/>
      </c>
    </row>
    <row r="191">
      <c r="F191">
        <f>IFERROR(VLOOKUP(LEFT(E191,1),'03 Angle scoreboard'!A:B,2,FALSE),"")</f>
        <v/>
      </c>
      <c r="N191" t="n">
        <v>1</v>
      </c>
      <c r="O191" t="n">
        <v>300</v>
      </c>
      <c r="P191" s="6">
        <f>IF(AND(K191="Approved",L191&gt;=5000),MIN(O191,L191/1000*N191),0)</f>
        <v/>
      </c>
    </row>
    <row r="192">
      <c r="F192">
        <f>IFERROR(VLOOKUP(LEFT(E192,1),'03 Angle scoreboard'!A:B,2,FALSE),"")</f>
        <v/>
      </c>
      <c r="N192" t="n">
        <v>1</v>
      </c>
      <c r="O192" t="n">
        <v>300</v>
      </c>
      <c r="P192" s="6">
        <f>IF(AND(K192="Approved",L192&gt;=5000),MIN(O192,L192/1000*N192),0)</f>
        <v/>
      </c>
    </row>
    <row r="193">
      <c r="F193">
        <f>IFERROR(VLOOKUP(LEFT(E193,1),'03 Angle scoreboard'!A:B,2,FALSE),"")</f>
        <v/>
      </c>
      <c r="N193" t="n">
        <v>1</v>
      </c>
      <c r="O193" t="n">
        <v>300</v>
      </c>
      <c r="P193" s="6">
        <f>IF(AND(K193="Approved",L193&gt;=5000),MIN(O193,L193/1000*N193),0)</f>
        <v/>
      </c>
    </row>
    <row r="194">
      <c r="F194">
        <f>IFERROR(VLOOKUP(LEFT(E194,1),'03 Angle scoreboard'!A:B,2,FALSE),"")</f>
        <v/>
      </c>
      <c r="N194" t="n">
        <v>1</v>
      </c>
      <c r="O194" t="n">
        <v>300</v>
      </c>
      <c r="P194" s="6">
        <f>IF(AND(K194="Approved",L194&gt;=5000),MIN(O194,L194/1000*N194),0)</f>
        <v/>
      </c>
    </row>
    <row r="195">
      <c r="F195">
        <f>IFERROR(VLOOKUP(LEFT(E195,1),'03 Angle scoreboard'!A:B,2,FALSE),"")</f>
        <v/>
      </c>
      <c r="N195" t="n">
        <v>1</v>
      </c>
      <c r="O195" t="n">
        <v>300</v>
      </c>
      <c r="P195" s="6">
        <f>IF(AND(K195="Approved",L195&gt;=5000),MIN(O195,L195/1000*N195),0)</f>
        <v/>
      </c>
    </row>
    <row r="196">
      <c r="F196">
        <f>IFERROR(VLOOKUP(LEFT(E196,1),'03 Angle scoreboard'!A:B,2,FALSE),"")</f>
        <v/>
      </c>
      <c r="N196" t="n">
        <v>1</v>
      </c>
      <c r="O196" t="n">
        <v>300</v>
      </c>
      <c r="P196" s="6">
        <f>IF(AND(K196="Approved",L196&gt;=5000),MIN(O196,L196/1000*N196),0)</f>
        <v/>
      </c>
    </row>
    <row r="197">
      <c r="F197">
        <f>IFERROR(VLOOKUP(LEFT(E197,1),'03 Angle scoreboard'!A:B,2,FALSE),"")</f>
        <v/>
      </c>
      <c r="N197" t="n">
        <v>1</v>
      </c>
      <c r="O197" t="n">
        <v>300</v>
      </c>
      <c r="P197" s="6">
        <f>IF(AND(K197="Approved",L197&gt;=5000),MIN(O197,L197/1000*N197),0)</f>
        <v/>
      </c>
    </row>
    <row r="198">
      <c r="F198">
        <f>IFERROR(VLOOKUP(LEFT(E198,1),'03 Angle scoreboard'!A:B,2,FALSE),"")</f>
        <v/>
      </c>
      <c r="N198" t="n">
        <v>1</v>
      </c>
      <c r="O198" t="n">
        <v>300</v>
      </c>
      <c r="P198" s="6">
        <f>IF(AND(K198="Approved",L198&gt;=5000),MIN(O198,L198/1000*N198),0)</f>
        <v/>
      </c>
    </row>
    <row r="199">
      <c r="F199">
        <f>IFERROR(VLOOKUP(LEFT(E199,1),'03 Angle scoreboard'!A:B,2,FALSE),"")</f>
        <v/>
      </c>
      <c r="N199" t="n">
        <v>1</v>
      </c>
      <c r="O199" t="n">
        <v>300</v>
      </c>
      <c r="P199" s="6">
        <f>IF(AND(K199="Approved",L199&gt;=5000),MIN(O199,L199/1000*N199),0)</f>
        <v/>
      </c>
    </row>
    <row r="200">
      <c r="F200">
        <f>IFERROR(VLOOKUP(LEFT(E200,1),'03 Angle scoreboard'!A:B,2,FALSE),"")</f>
        <v/>
      </c>
      <c r="N200" t="n">
        <v>1</v>
      </c>
      <c r="O200" t="n">
        <v>300</v>
      </c>
      <c r="P200" s="6">
        <f>IF(AND(K200="Approved",L200&gt;=5000),MIN(O200,L200/1000*N200),0)</f>
        <v/>
      </c>
    </row>
    <row r="201">
      <c r="F201">
        <f>IFERROR(VLOOKUP(LEFT(E201,1),'03 Angle scoreboard'!A:B,2,FALSE),"")</f>
        <v/>
      </c>
      <c r="N201" t="n">
        <v>1</v>
      </c>
      <c r="O201" t="n">
        <v>300</v>
      </c>
      <c r="P201" s="6">
        <f>IF(AND(K201="Approved",L201&gt;=5000),MIN(O201,L201/1000*N201),0)</f>
        <v/>
      </c>
    </row>
    <row r="202">
      <c r="F202">
        <f>IFERROR(VLOOKUP(LEFT(E202,1),'03 Angle scoreboard'!A:B,2,FALSE),"")</f>
        <v/>
      </c>
      <c r="N202" t="n">
        <v>1</v>
      </c>
      <c r="O202" t="n">
        <v>300</v>
      </c>
      <c r="P202" s="6">
        <f>IF(AND(K202="Approved",L202&gt;=5000),MIN(O202,L202/1000*N202),0)</f>
        <v/>
      </c>
    </row>
    <row r="203">
      <c r="F203">
        <f>IFERROR(VLOOKUP(LEFT(E203,1),'03 Angle scoreboard'!A:B,2,FALSE),"")</f>
        <v/>
      </c>
      <c r="N203" t="n">
        <v>1</v>
      </c>
      <c r="O203" t="n">
        <v>300</v>
      </c>
      <c r="P203" s="6">
        <f>IF(AND(K203="Approved",L203&gt;=5000),MIN(O203,L203/1000*N203),0)</f>
        <v/>
      </c>
    </row>
    <row r="204">
      <c r="F204">
        <f>IFERROR(VLOOKUP(LEFT(E204,1),'03 Angle scoreboard'!A:B,2,FALSE),"")</f>
        <v/>
      </c>
      <c r="N204" t="n">
        <v>1</v>
      </c>
      <c r="O204" t="n">
        <v>300</v>
      </c>
      <c r="P204" s="6">
        <f>IF(AND(K204="Approved",L204&gt;=5000),MIN(O204,L204/1000*N204),0)</f>
        <v/>
      </c>
    </row>
    <row r="205">
      <c r="F205">
        <f>IFERROR(VLOOKUP(LEFT(E205,1),'03 Angle scoreboard'!A:B,2,FALSE),"")</f>
        <v/>
      </c>
      <c r="N205" t="n">
        <v>1</v>
      </c>
      <c r="O205" t="n">
        <v>300</v>
      </c>
      <c r="P205" s="6">
        <f>IF(AND(K205="Approved",L205&gt;=5000),MIN(O205,L205/1000*N205),0)</f>
        <v/>
      </c>
    </row>
    <row r="206">
      <c r="F206">
        <f>IFERROR(VLOOKUP(LEFT(E206,1),'03 Angle scoreboard'!A:B,2,FALSE),"")</f>
        <v/>
      </c>
      <c r="N206" t="n">
        <v>1</v>
      </c>
      <c r="O206" t="n">
        <v>300</v>
      </c>
      <c r="P206" s="6">
        <f>IF(AND(K206="Approved",L206&gt;=5000),MIN(O206,L206/1000*N206),0)</f>
        <v/>
      </c>
    </row>
    <row r="207">
      <c r="F207">
        <f>IFERROR(VLOOKUP(LEFT(E207,1),'03 Angle scoreboard'!A:B,2,FALSE),"")</f>
        <v/>
      </c>
      <c r="N207" t="n">
        <v>1</v>
      </c>
      <c r="O207" t="n">
        <v>300</v>
      </c>
      <c r="P207" s="6">
        <f>IF(AND(K207="Approved",L207&gt;=5000),MIN(O207,L207/1000*N207),0)</f>
        <v/>
      </c>
    </row>
    <row r="208">
      <c r="F208">
        <f>IFERROR(VLOOKUP(LEFT(E208,1),'03 Angle scoreboard'!A:B,2,FALSE),"")</f>
        <v/>
      </c>
      <c r="N208" t="n">
        <v>1</v>
      </c>
      <c r="O208" t="n">
        <v>300</v>
      </c>
      <c r="P208" s="6">
        <f>IF(AND(K208="Approved",L208&gt;=5000),MIN(O208,L208/1000*N208),0)</f>
        <v/>
      </c>
    </row>
    <row r="209">
      <c r="F209">
        <f>IFERROR(VLOOKUP(LEFT(E209,1),'03 Angle scoreboard'!A:B,2,FALSE),"")</f>
        <v/>
      </c>
      <c r="N209" t="n">
        <v>1</v>
      </c>
      <c r="O209" t="n">
        <v>300</v>
      </c>
      <c r="P209" s="6">
        <f>IF(AND(K209="Approved",L209&gt;=5000),MIN(O209,L209/1000*N209),0)</f>
        <v/>
      </c>
    </row>
    <row r="210">
      <c r="F210">
        <f>IFERROR(VLOOKUP(LEFT(E210,1),'03 Angle scoreboard'!A:B,2,FALSE),"")</f>
        <v/>
      </c>
      <c r="N210" t="n">
        <v>1</v>
      </c>
      <c r="O210" t="n">
        <v>300</v>
      </c>
      <c r="P210" s="6">
        <f>IF(AND(K210="Approved",L210&gt;=5000),MIN(O210,L210/1000*N210),0)</f>
        <v/>
      </c>
    </row>
    <row r="211">
      <c r="F211">
        <f>IFERROR(VLOOKUP(LEFT(E211,1),'03 Angle scoreboard'!A:B,2,FALSE),"")</f>
        <v/>
      </c>
      <c r="N211" t="n">
        <v>1</v>
      </c>
      <c r="O211" t="n">
        <v>300</v>
      </c>
      <c r="P211" s="6">
        <f>IF(AND(K211="Approved",L211&gt;=5000),MIN(O211,L211/1000*N211),0)</f>
        <v/>
      </c>
    </row>
    <row r="212">
      <c r="F212">
        <f>IFERROR(VLOOKUP(LEFT(E212,1),'03 Angle scoreboard'!A:B,2,FALSE),"")</f>
        <v/>
      </c>
      <c r="N212" t="n">
        <v>1</v>
      </c>
      <c r="O212" t="n">
        <v>300</v>
      </c>
      <c r="P212" s="6">
        <f>IF(AND(K212="Approved",L212&gt;=5000),MIN(O212,L212/1000*N212),0)</f>
        <v/>
      </c>
    </row>
    <row r="213">
      <c r="F213">
        <f>IFERROR(VLOOKUP(LEFT(E213,1),'03 Angle scoreboard'!A:B,2,FALSE),"")</f>
        <v/>
      </c>
      <c r="N213" t="n">
        <v>1</v>
      </c>
      <c r="O213" t="n">
        <v>300</v>
      </c>
      <c r="P213" s="6">
        <f>IF(AND(K213="Approved",L213&gt;=5000),MIN(O213,L213/1000*N213),0)</f>
        <v/>
      </c>
    </row>
    <row r="214">
      <c r="F214">
        <f>IFERROR(VLOOKUP(LEFT(E214,1),'03 Angle scoreboard'!A:B,2,FALSE),"")</f>
        <v/>
      </c>
      <c r="N214" t="n">
        <v>1</v>
      </c>
      <c r="O214" t="n">
        <v>300</v>
      </c>
      <c r="P214" s="6">
        <f>IF(AND(K214="Approved",L214&gt;=5000),MIN(O214,L214/1000*N214),0)</f>
        <v/>
      </c>
    </row>
    <row r="215">
      <c r="F215">
        <f>IFERROR(VLOOKUP(LEFT(E215,1),'03 Angle scoreboard'!A:B,2,FALSE),"")</f>
        <v/>
      </c>
      <c r="N215" t="n">
        <v>1</v>
      </c>
      <c r="O215" t="n">
        <v>300</v>
      </c>
      <c r="P215" s="6">
        <f>IF(AND(K215="Approved",L215&gt;=5000),MIN(O215,L215/1000*N215),0)</f>
        <v/>
      </c>
    </row>
    <row r="216">
      <c r="F216">
        <f>IFERROR(VLOOKUP(LEFT(E216,1),'03 Angle scoreboard'!A:B,2,FALSE),"")</f>
        <v/>
      </c>
      <c r="N216" t="n">
        <v>1</v>
      </c>
      <c r="O216" t="n">
        <v>300</v>
      </c>
      <c r="P216" s="6">
        <f>IF(AND(K216="Approved",L216&gt;=5000),MIN(O216,L216/1000*N216),0)</f>
        <v/>
      </c>
    </row>
    <row r="217">
      <c r="F217">
        <f>IFERROR(VLOOKUP(LEFT(E217,1),'03 Angle scoreboard'!A:B,2,FALSE),"")</f>
        <v/>
      </c>
      <c r="N217" t="n">
        <v>1</v>
      </c>
      <c r="O217" t="n">
        <v>300</v>
      </c>
      <c r="P217" s="6">
        <f>IF(AND(K217="Approved",L217&gt;=5000),MIN(O217,L217/1000*N217),0)</f>
        <v/>
      </c>
    </row>
    <row r="218">
      <c r="F218">
        <f>IFERROR(VLOOKUP(LEFT(E218,1),'03 Angle scoreboard'!A:B,2,FALSE),"")</f>
        <v/>
      </c>
      <c r="N218" t="n">
        <v>1</v>
      </c>
      <c r="O218" t="n">
        <v>300</v>
      </c>
      <c r="P218" s="6">
        <f>IF(AND(K218="Approved",L218&gt;=5000),MIN(O218,L218/1000*N218),0)</f>
        <v/>
      </c>
    </row>
    <row r="219">
      <c r="F219">
        <f>IFERROR(VLOOKUP(LEFT(E219,1),'03 Angle scoreboard'!A:B,2,FALSE),"")</f>
        <v/>
      </c>
      <c r="N219" t="n">
        <v>1</v>
      </c>
      <c r="O219" t="n">
        <v>300</v>
      </c>
      <c r="P219" s="6">
        <f>IF(AND(K219="Approved",L219&gt;=5000),MIN(O219,L219/1000*N219),0)</f>
        <v/>
      </c>
    </row>
    <row r="220">
      <c r="F220">
        <f>IFERROR(VLOOKUP(LEFT(E220,1),'03 Angle scoreboard'!A:B,2,FALSE),"")</f>
        <v/>
      </c>
      <c r="N220" t="n">
        <v>1</v>
      </c>
      <c r="O220" t="n">
        <v>300</v>
      </c>
      <c r="P220" s="6">
        <f>IF(AND(K220="Approved",L220&gt;=5000),MIN(O220,L220/1000*N220),0)</f>
        <v/>
      </c>
    </row>
    <row r="221">
      <c r="F221">
        <f>IFERROR(VLOOKUP(LEFT(E221,1),'03 Angle scoreboard'!A:B,2,FALSE),"")</f>
        <v/>
      </c>
      <c r="N221" t="n">
        <v>1</v>
      </c>
      <c r="O221" t="n">
        <v>300</v>
      </c>
      <c r="P221" s="6">
        <f>IF(AND(K221="Approved",L221&gt;=5000),MIN(O221,L221/1000*N221),0)</f>
        <v/>
      </c>
    </row>
    <row r="222">
      <c r="F222">
        <f>IFERROR(VLOOKUP(LEFT(E222,1),'03 Angle scoreboard'!A:B,2,FALSE),"")</f>
        <v/>
      </c>
      <c r="N222" t="n">
        <v>1</v>
      </c>
      <c r="O222" t="n">
        <v>300</v>
      </c>
      <c r="P222" s="6">
        <f>IF(AND(K222="Approved",L222&gt;=5000),MIN(O222,L222/1000*N222),0)</f>
        <v/>
      </c>
    </row>
    <row r="223">
      <c r="F223">
        <f>IFERROR(VLOOKUP(LEFT(E223,1),'03 Angle scoreboard'!A:B,2,FALSE),"")</f>
        <v/>
      </c>
      <c r="N223" t="n">
        <v>1</v>
      </c>
      <c r="O223" t="n">
        <v>300</v>
      </c>
      <c r="P223" s="6">
        <f>IF(AND(K223="Approved",L223&gt;=5000),MIN(O223,L223/1000*N223),0)</f>
        <v/>
      </c>
    </row>
    <row r="224">
      <c r="F224">
        <f>IFERROR(VLOOKUP(LEFT(E224,1),'03 Angle scoreboard'!A:B,2,FALSE),"")</f>
        <v/>
      </c>
      <c r="N224" t="n">
        <v>1</v>
      </c>
      <c r="O224" t="n">
        <v>300</v>
      </c>
      <c r="P224" s="6">
        <f>IF(AND(K224="Approved",L224&gt;=5000),MIN(O224,L224/1000*N224),0)</f>
        <v/>
      </c>
    </row>
    <row r="225">
      <c r="F225">
        <f>IFERROR(VLOOKUP(LEFT(E225,1),'03 Angle scoreboard'!A:B,2,FALSE),"")</f>
        <v/>
      </c>
      <c r="N225" t="n">
        <v>1</v>
      </c>
      <c r="O225" t="n">
        <v>300</v>
      </c>
      <c r="P225" s="6">
        <f>IF(AND(K225="Approved",L225&gt;=5000),MIN(O225,L225/1000*N225),0)</f>
        <v/>
      </c>
    </row>
    <row r="226">
      <c r="F226">
        <f>IFERROR(VLOOKUP(LEFT(E226,1),'03 Angle scoreboard'!A:B,2,FALSE),"")</f>
        <v/>
      </c>
      <c r="N226" t="n">
        <v>1</v>
      </c>
      <c r="O226" t="n">
        <v>300</v>
      </c>
      <c r="P226" s="6">
        <f>IF(AND(K226="Approved",L226&gt;=5000),MIN(O226,L226/1000*N226),0)</f>
        <v/>
      </c>
    </row>
    <row r="227">
      <c r="F227">
        <f>IFERROR(VLOOKUP(LEFT(E227,1),'03 Angle scoreboard'!A:B,2,FALSE),"")</f>
        <v/>
      </c>
      <c r="N227" t="n">
        <v>1</v>
      </c>
      <c r="O227" t="n">
        <v>300</v>
      </c>
      <c r="P227" s="6">
        <f>IF(AND(K227="Approved",L227&gt;=5000),MIN(O227,L227/1000*N227),0)</f>
        <v/>
      </c>
    </row>
    <row r="228">
      <c r="F228">
        <f>IFERROR(VLOOKUP(LEFT(E228,1),'03 Angle scoreboard'!A:B,2,FALSE),"")</f>
        <v/>
      </c>
      <c r="N228" t="n">
        <v>1</v>
      </c>
      <c r="O228" t="n">
        <v>300</v>
      </c>
      <c r="P228" s="6">
        <f>IF(AND(K228="Approved",L228&gt;=5000),MIN(O228,L228/1000*N228),0)</f>
        <v/>
      </c>
    </row>
    <row r="229">
      <c r="F229">
        <f>IFERROR(VLOOKUP(LEFT(E229,1),'03 Angle scoreboard'!A:B,2,FALSE),"")</f>
        <v/>
      </c>
      <c r="N229" t="n">
        <v>1</v>
      </c>
      <c r="O229" t="n">
        <v>300</v>
      </c>
      <c r="P229" s="6">
        <f>IF(AND(K229="Approved",L229&gt;=5000),MIN(O229,L229/1000*N229),0)</f>
        <v/>
      </c>
    </row>
    <row r="230">
      <c r="F230">
        <f>IFERROR(VLOOKUP(LEFT(E230,1),'03 Angle scoreboard'!A:B,2,FALSE),"")</f>
        <v/>
      </c>
      <c r="N230" t="n">
        <v>1</v>
      </c>
      <c r="O230" t="n">
        <v>300</v>
      </c>
      <c r="P230" s="6">
        <f>IF(AND(K230="Approved",L230&gt;=5000),MIN(O230,L230/1000*N230),0)</f>
        <v/>
      </c>
    </row>
    <row r="231">
      <c r="F231">
        <f>IFERROR(VLOOKUP(LEFT(E231,1),'03 Angle scoreboard'!A:B,2,FALSE),"")</f>
        <v/>
      </c>
      <c r="N231" t="n">
        <v>1</v>
      </c>
      <c r="O231" t="n">
        <v>300</v>
      </c>
      <c r="P231" s="6">
        <f>IF(AND(K231="Approved",L231&gt;=5000),MIN(O231,L231/1000*N231),0)</f>
        <v/>
      </c>
    </row>
    <row r="232">
      <c r="F232">
        <f>IFERROR(VLOOKUP(LEFT(E232,1),'03 Angle scoreboard'!A:B,2,FALSE),"")</f>
        <v/>
      </c>
      <c r="N232" t="n">
        <v>1</v>
      </c>
      <c r="O232" t="n">
        <v>300</v>
      </c>
      <c r="P232" s="6">
        <f>IF(AND(K232="Approved",L232&gt;=5000),MIN(O232,L232/1000*N232),0)</f>
        <v/>
      </c>
    </row>
    <row r="233">
      <c r="F233">
        <f>IFERROR(VLOOKUP(LEFT(E233,1),'03 Angle scoreboard'!A:B,2,FALSE),"")</f>
        <v/>
      </c>
      <c r="N233" t="n">
        <v>1</v>
      </c>
      <c r="O233" t="n">
        <v>300</v>
      </c>
      <c r="P233" s="6">
        <f>IF(AND(K233="Approved",L233&gt;=5000),MIN(O233,L233/1000*N233),0)</f>
        <v/>
      </c>
    </row>
    <row r="234">
      <c r="F234">
        <f>IFERROR(VLOOKUP(LEFT(E234,1),'03 Angle scoreboard'!A:B,2,FALSE),"")</f>
        <v/>
      </c>
      <c r="N234" t="n">
        <v>1</v>
      </c>
      <c r="O234" t="n">
        <v>300</v>
      </c>
      <c r="P234" s="6">
        <f>IF(AND(K234="Approved",L234&gt;=5000),MIN(O234,L234/1000*N234),0)</f>
        <v/>
      </c>
    </row>
    <row r="235">
      <c r="F235">
        <f>IFERROR(VLOOKUP(LEFT(E235,1),'03 Angle scoreboard'!A:B,2,FALSE),"")</f>
        <v/>
      </c>
      <c r="N235" t="n">
        <v>1</v>
      </c>
      <c r="O235" t="n">
        <v>300</v>
      </c>
      <c r="P235" s="6">
        <f>IF(AND(K235="Approved",L235&gt;=5000),MIN(O235,L235/1000*N235),0)</f>
        <v/>
      </c>
    </row>
    <row r="236">
      <c r="F236">
        <f>IFERROR(VLOOKUP(LEFT(E236,1),'03 Angle scoreboard'!A:B,2,FALSE),"")</f>
        <v/>
      </c>
      <c r="N236" t="n">
        <v>1</v>
      </c>
      <c r="O236" t="n">
        <v>300</v>
      </c>
      <c r="P236" s="6">
        <f>IF(AND(K236="Approved",L236&gt;=5000),MIN(O236,L236/1000*N236),0)</f>
        <v/>
      </c>
    </row>
    <row r="237">
      <c r="F237">
        <f>IFERROR(VLOOKUP(LEFT(E237,1),'03 Angle scoreboard'!A:B,2,FALSE),"")</f>
        <v/>
      </c>
      <c r="N237" t="n">
        <v>1</v>
      </c>
      <c r="O237" t="n">
        <v>300</v>
      </c>
      <c r="P237" s="6">
        <f>IF(AND(K237="Approved",L237&gt;=5000),MIN(O237,L237/1000*N237),0)</f>
        <v/>
      </c>
    </row>
    <row r="238">
      <c r="F238">
        <f>IFERROR(VLOOKUP(LEFT(E238,1),'03 Angle scoreboard'!A:B,2,FALSE),"")</f>
        <v/>
      </c>
      <c r="N238" t="n">
        <v>1</v>
      </c>
      <c r="O238" t="n">
        <v>300</v>
      </c>
      <c r="P238" s="6">
        <f>IF(AND(K238="Approved",L238&gt;=5000),MIN(O238,L238/1000*N238),0)</f>
        <v/>
      </c>
    </row>
    <row r="239">
      <c r="F239">
        <f>IFERROR(VLOOKUP(LEFT(E239,1),'03 Angle scoreboard'!A:B,2,FALSE),"")</f>
        <v/>
      </c>
      <c r="N239" t="n">
        <v>1</v>
      </c>
      <c r="O239" t="n">
        <v>300</v>
      </c>
      <c r="P239" s="6">
        <f>IF(AND(K239="Approved",L239&gt;=5000),MIN(O239,L239/1000*N239),0)</f>
        <v/>
      </c>
    </row>
    <row r="240">
      <c r="F240">
        <f>IFERROR(VLOOKUP(LEFT(E240,1),'03 Angle scoreboard'!A:B,2,FALSE),"")</f>
        <v/>
      </c>
      <c r="N240" t="n">
        <v>1</v>
      </c>
      <c r="O240" t="n">
        <v>300</v>
      </c>
      <c r="P240" s="6">
        <f>IF(AND(K240="Approved",L240&gt;=5000),MIN(O240,L240/1000*N240),0)</f>
        <v/>
      </c>
    </row>
    <row r="241">
      <c r="F241">
        <f>IFERROR(VLOOKUP(LEFT(E241,1),'03 Angle scoreboard'!A:B,2,FALSE),"")</f>
        <v/>
      </c>
      <c r="N241" t="n">
        <v>1</v>
      </c>
      <c r="O241" t="n">
        <v>300</v>
      </c>
      <c r="P241" s="6">
        <f>IF(AND(K241="Approved",L241&gt;=5000),MIN(O241,L241/1000*N241),0)</f>
        <v/>
      </c>
    </row>
    <row r="242">
      <c r="F242">
        <f>IFERROR(VLOOKUP(LEFT(E242,1),'03 Angle scoreboard'!A:B,2,FALSE),"")</f>
        <v/>
      </c>
      <c r="N242" t="n">
        <v>1</v>
      </c>
      <c r="O242" t="n">
        <v>300</v>
      </c>
      <c r="P242" s="6">
        <f>IF(AND(K242="Approved",L242&gt;=5000),MIN(O242,L242/1000*N242),0)</f>
        <v/>
      </c>
    </row>
    <row r="243">
      <c r="F243">
        <f>IFERROR(VLOOKUP(LEFT(E243,1),'03 Angle scoreboard'!A:B,2,FALSE),"")</f>
        <v/>
      </c>
      <c r="N243" t="n">
        <v>1</v>
      </c>
      <c r="O243" t="n">
        <v>300</v>
      </c>
      <c r="P243" s="6">
        <f>IF(AND(K243="Approved",L243&gt;=5000),MIN(O243,L243/1000*N243),0)</f>
        <v/>
      </c>
    </row>
    <row r="244">
      <c r="F244">
        <f>IFERROR(VLOOKUP(LEFT(E244,1),'03 Angle scoreboard'!A:B,2,FALSE),"")</f>
        <v/>
      </c>
      <c r="N244" t="n">
        <v>1</v>
      </c>
      <c r="O244" t="n">
        <v>300</v>
      </c>
      <c r="P244" s="6">
        <f>IF(AND(K244="Approved",L244&gt;=5000),MIN(O244,L244/1000*N244),0)</f>
        <v/>
      </c>
    </row>
    <row r="245">
      <c r="F245">
        <f>IFERROR(VLOOKUP(LEFT(E245,1),'03 Angle scoreboard'!A:B,2,FALSE),"")</f>
        <v/>
      </c>
      <c r="N245" t="n">
        <v>1</v>
      </c>
      <c r="O245" t="n">
        <v>300</v>
      </c>
      <c r="P245" s="6">
        <f>IF(AND(K245="Approved",L245&gt;=5000),MIN(O245,L245/1000*N245),0)</f>
        <v/>
      </c>
    </row>
    <row r="246">
      <c r="F246">
        <f>IFERROR(VLOOKUP(LEFT(E246,1),'03 Angle scoreboard'!A:B,2,FALSE),"")</f>
        <v/>
      </c>
      <c r="N246" t="n">
        <v>1</v>
      </c>
      <c r="O246" t="n">
        <v>300</v>
      </c>
      <c r="P246" s="6">
        <f>IF(AND(K246="Approved",L246&gt;=5000),MIN(O246,L246/1000*N246),0)</f>
        <v/>
      </c>
    </row>
    <row r="247">
      <c r="F247">
        <f>IFERROR(VLOOKUP(LEFT(E247,1),'03 Angle scoreboard'!A:B,2,FALSE),"")</f>
        <v/>
      </c>
      <c r="N247" t="n">
        <v>1</v>
      </c>
      <c r="O247" t="n">
        <v>300</v>
      </c>
      <c r="P247" s="6">
        <f>IF(AND(K247="Approved",L247&gt;=5000),MIN(O247,L247/1000*N247),0)</f>
        <v/>
      </c>
    </row>
    <row r="248">
      <c r="F248">
        <f>IFERROR(VLOOKUP(LEFT(E248,1),'03 Angle scoreboard'!A:B,2,FALSE),"")</f>
        <v/>
      </c>
      <c r="N248" t="n">
        <v>1</v>
      </c>
      <c r="O248" t="n">
        <v>300</v>
      </c>
      <c r="P248" s="6">
        <f>IF(AND(K248="Approved",L248&gt;=5000),MIN(O248,L248/1000*N248),0)</f>
        <v/>
      </c>
    </row>
    <row r="249">
      <c r="F249">
        <f>IFERROR(VLOOKUP(LEFT(E249,1),'03 Angle scoreboard'!A:B,2,FALSE),"")</f>
        <v/>
      </c>
      <c r="N249" t="n">
        <v>1</v>
      </c>
      <c r="O249" t="n">
        <v>300</v>
      </c>
      <c r="P249" s="6">
        <f>IF(AND(K249="Approved",L249&gt;=5000),MIN(O249,L249/1000*N249),0)</f>
        <v/>
      </c>
    </row>
    <row r="250">
      <c r="F250">
        <f>IFERROR(VLOOKUP(LEFT(E250,1),'03 Angle scoreboard'!A:B,2,FALSE),"")</f>
        <v/>
      </c>
      <c r="N250" t="n">
        <v>1</v>
      </c>
      <c r="O250" t="n">
        <v>300</v>
      </c>
      <c r="P250" s="6">
        <f>IF(AND(K250="Approved",L250&gt;=5000),MIN(O250,L250/1000*N250),0)</f>
        <v/>
      </c>
    </row>
    <row r="251">
      <c r="F251">
        <f>IFERROR(VLOOKUP(LEFT(E251,1),'03 Angle scoreboard'!A:B,2,FALSE),"")</f>
        <v/>
      </c>
      <c r="N251" t="n">
        <v>1</v>
      </c>
      <c r="O251" t="n">
        <v>300</v>
      </c>
      <c r="P251" s="6">
        <f>IF(AND(K251="Approved",L251&gt;=5000),MIN(O251,L251/1000*N251),0)</f>
        <v/>
      </c>
    </row>
    <row r="252">
      <c r="F252">
        <f>IFERROR(VLOOKUP(LEFT(E252,1),'03 Angle scoreboard'!A:B,2,FALSE),"")</f>
        <v/>
      </c>
      <c r="N252" t="n">
        <v>1</v>
      </c>
      <c r="O252" t="n">
        <v>300</v>
      </c>
      <c r="P252" s="6">
        <f>IF(AND(K252="Approved",L252&gt;=5000),MIN(O252,L252/1000*N252),0)</f>
        <v/>
      </c>
    </row>
    <row r="253">
      <c r="F253">
        <f>IFERROR(VLOOKUP(LEFT(E253,1),'03 Angle scoreboard'!A:B,2,FALSE),"")</f>
        <v/>
      </c>
      <c r="N253" t="n">
        <v>1</v>
      </c>
      <c r="O253" t="n">
        <v>300</v>
      </c>
      <c r="P253" s="6">
        <f>IF(AND(K253="Approved",L253&gt;=5000),MIN(O253,L253/1000*N253),0)</f>
        <v/>
      </c>
    </row>
    <row r="254">
      <c r="F254">
        <f>IFERROR(VLOOKUP(LEFT(E254,1),'03 Angle scoreboard'!A:B,2,FALSE),"")</f>
        <v/>
      </c>
      <c r="N254" t="n">
        <v>1</v>
      </c>
      <c r="O254" t="n">
        <v>300</v>
      </c>
      <c r="P254" s="6">
        <f>IF(AND(K254="Approved",L254&gt;=5000),MIN(O254,L254/1000*N254),0)</f>
        <v/>
      </c>
    </row>
    <row r="255">
      <c r="F255">
        <f>IFERROR(VLOOKUP(LEFT(E255,1),'03 Angle scoreboard'!A:B,2,FALSE),"")</f>
        <v/>
      </c>
      <c r="N255" t="n">
        <v>1</v>
      </c>
      <c r="O255" t="n">
        <v>300</v>
      </c>
      <c r="P255" s="6">
        <f>IF(AND(K255="Approved",L255&gt;=5000),MIN(O255,L255/1000*N255),0)</f>
        <v/>
      </c>
    </row>
    <row r="256">
      <c r="F256">
        <f>IFERROR(VLOOKUP(LEFT(E256,1),'03 Angle scoreboard'!A:B,2,FALSE),"")</f>
        <v/>
      </c>
      <c r="N256" t="n">
        <v>1</v>
      </c>
      <c r="O256" t="n">
        <v>300</v>
      </c>
      <c r="P256" s="6">
        <f>IF(AND(K256="Approved",L256&gt;=5000),MIN(O256,L256/1000*N256),0)</f>
        <v/>
      </c>
    </row>
    <row r="257">
      <c r="F257">
        <f>IFERROR(VLOOKUP(LEFT(E257,1),'03 Angle scoreboard'!A:B,2,FALSE),"")</f>
        <v/>
      </c>
      <c r="N257" t="n">
        <v>1</v>
      </c>
      <c r="O257" t="n">
        <v>300</v>
      </c>
      <c r="P257" s="6">
        <f>IF(AND(K257="Approved",L257&gt;=5000),MIN(O257,L257/1000*N257),0)</f>
        <v/>
      </c>
    </row>
    <row r="258">
      <c r="F258">
        <f>IFERROR(VLOOKUP(LEFT(E258,1),'03 Angle scoreboard'!A:B,2,FALSE),"")</f>
        <v/>
      </c>
      <c r="N258" t="n">
        <v>1</v>
      </c>
      <c r="O258" t="n">
        <v>300</v>
      </c>
      <c r="P258" s="6">
        <f>IF(AND(K258="Approved",L258&gt;=5000),MIN(O258,L258/1000*N258),0)</f>
        <v/>
      </c>
    </row>
    <row r="259">
      <c r="F259">
        <f>IFERROR(VLOOKUP(LEFT(E259,1),'03 Angle scoreboard'!A:B,2,FALSE),"")</f>
        <v/>
      </c>
      <c r="N259" t="n">
        <v>1</v>
      </c>
      <c r="O259" t="n">
        <v>300</v>
      </c>
      <c r="P259" s="6">
        <f>IF(AND(K259="Approved",L259&gt;=5000),MIN(O259,L259/1000*N259),0)</f>
        <v/>
      </c>
    </row>
    <row r="260">
      <c r="F260">
        <f>IFERROR(VLOOKUP(LEFT(E260,1),'03 Angle scoreboard'!A:B,2,FALSE),"")</f>
        <v/>
      </c>
      <c r="N260" t="n">
        <v>1</v>
      </c>
      <c r="O260" t="n">
        <v>300</v>
      </c>
      <c r="P260" s="6">
        <f>IF(AND(K260="Approved",L260&gt;=5000),MIN(O260,L260/1000*N260),0)</f>
        <v/>
      </c>
    </row>
    <row r="261">
      <c r="F261">
        <f>IFERROR(VLOOKUP(LEFT(E261,1),'03 Angle scoreboard'!A:B,2,FALSE),"")</f>
        <v/>
      </c>
      <c r="N261" t="n">
        <v>1</v>
      </c>
      <c r="O261" t="n">
        <v>300</v>
      </c>
      <c r="P261" s="6">
        <f>IF(AND(K261="Approved",L261&gt;=5000),MIN(O261,L261/1000*N261),0)</f>
        <v/>
      </c>
    </row>
    <row r="262">
      <c r="F262">
        <f>IFERROR(VLOOKUP(LEFT(E262,1),'03 Angle scoreboard'!A:B,2,FALSE),"")</f>
        <v/>
      </c>
      <c r="N262" t="n">
        <v>1</v>
      </c>
      <c r="O262" t="n">
        <v>300</v>
      </c>
      <c r="P262" s="6">
        <f>IF(AND(K262="Approved",L262&gt;=5000),MIN(O262,L262/1000*N262),0)</f>
        <v/>
      </c>
    </row>
    <row r="263">
      <c r="F263">
        <f>IFERROR(VLOOKUP(LEFT(E263,1),'03 Angle scoreboard'!A:B,2,FALSE),"")</f>
        <v/>
      </c>
      <c r="N263" t="n">
        <v>1</v>
      </c>
      <c r="O263" t="n">
        <v>300</v>
      </c>
      <c r="P263" s="6">
        <f>IF(AND(K263="Approved",L263&gt;=5000),MIN(O263,L263/1000*N263),0)</f>
        <v/>
      </c>
    </row>
    <row r="264">
      <c r="F264">
        <f>IFERROR(VLOOKUP(LEFT(E264,1),'03 Angle scoreboard'!A:B,2,FALSE),"")</f>
        <v/>
      </c>
      <c r="N264" t="n">
        <v>1</v>
      </c>
      <c r="O264" t="n">
        <v>300</v>
      </c>
      <c r="P264" s="6">
        <f>IF(AND(K264="Approved",L264&gt;=5000),MIN(O264,L264/1000*N264),0)</f>
        <v/>
      </c>
    </row>
    <row r="265">
      <c r="F265">
        <f>IFERROR(VLOOKUP(LEFT(E265,1),'03 Angle scoreboard'!A:B,2,FALSE),"")</f>
        <v/>
      </c>
      <c r="N265" t="n">
        <v>1</v>
      </c>
      <c r="O265" t="n">
        <v>300</v>
      </c>
      <c r="P265" s="6">
        <f>IF(AND(K265="Approved",L265&gt;=5000),MIN(O265,L265/1000*N265),0)</f>
        <v/>
      </c>
    </row>
    <row r="266">
      <c r="F266">
        <f>IFERROR(VLOOKUP(LEFT(E266,1),'03 Angle scoreboard'!A:B,2,FALSE),"")</f>
        <v/>
      </c>
      <c r="N266" t="n">
        <v>1</v>
      </c>
      <c r="O266" t="n">
        <v>300</v>
      </c>
      <c r="P266" s="6">
        <f>IF(AND(K266="Approved",L266&gt;=5000),MIN(O266,L266/1000*N266),0)</f>
        <v/>
      </c>
    </row>
    <row r="267">
      <c r="F267">
        <f>IFERROR(VLOOKUP(LEFT(E267,1),'03 Angle scoreboard'!A:B,2,FALSE),"")</f>
        <v/>
      </c>
      <c r="N267" t="n">
        <v>1</v>
      </c>
      <c r="O267" t="n">
        <v>300</v>
      </c>
      <c r="P267" s="6">
        <f>IF(AND(K267="Approved",L267&gt;=5000),MIN(O267,L267/1000*N267),0)</f>
        <v/>
      </c>
    </row>
    <row r="268">
      <c r="F268">
        <f>IFERROR(VLOOKUP(LEFT(E268,1),'03 Angle scoreboard'!A:B,2,FALSE),"")</f>
        <v/>
      </c>
      <c r="N268" t="n">
        <v>1</v>
      </c>
      <c r="O268" t="n">
        <v>300</v>
      </c>
      <c r="P268" s="6">
        <f>IF(AND(K268="Approved",L268&gt;=5000),MIN(O268,L268/1000*N268),0)</f>
        <v/>
      </c>
    </row>
    <row r="269">
      <c r="F269">
        <f>IFERROR(VLOOKUP(LEFT(E269,1),'03 Angle scoreboard'!A:B,2,FALSE),"")</f>
        <v/>
      </c>
      <c r="N269" t="n">
        <v>1</v>
      </c>
      <c r="O269" t="n">
        <v>300</v>
      </c>
      <c r="P269" s="6">
        <f>IF(AND(K269="Approved",L269&gt;=5000),MIN(O269,L269/1000*N269),0)</f>
        <v/>
      </c>
    </row>
    <row r="270">
      <c r="F270">
        <f>IFERROR(VLOOKUP(LEFT(E270,1),'03 Angle scoreboard'!A:B,2,FALSE),"")</f>
        <v/>
      </c>
      <c r="N270" t="n">
        <v>1</v>
      </c>
      <c r="O270" t="n">
        <v>300</v>
      </c>
      <c r="P270" s="6">
        <f>IF(AND(K270="Approved",L270&gt;=5000),MIN(O270,L270/1000*N270),0)</f>
        <v/>
      </c>
    </row>
    <row r="271">
      <c r="F271">
        <f>IFERROR(VLOOKUP(LEFT(E271,1),'03 Angle scoreboard'!A:B,2,FALSE),"")</f>
        <v/>
      </c>
      <c r="N271" t="n">
        <v>1</v>
      </c>
      <c r="O271" t="n">
        <v>300</v>
      </c>
      <c r="P271" s="6">
        <f>IF(AND(K271="Approved",L271&gt;=5000),MIN(O271,L271/1000*N271),0)</f>
        <v/>
      </c>
    </row>
    <row r="272">
      <c r="F272">
        <f>IFERROR(VLOOKUP(LEFT(E272,1),'03 Angle scoreboard'!A:B,2,FALSE),"")</f>
        <v/>
      </c>
      <c r="N272" t="n">
        <v>1</v>
      </c>
      <c r="O272" t="n">
        <v>300</v>
      </c>
      <c r="P272" s="6">
        <f>IF(AND(K272="Approved",L272&gt;=5000),MIN(O272,L272/1000*N272),0)</f>
        <v/>
      </c>
    </row>
    <row r="273">
      <c r="F273">
        <f>IFERROR(VLOOKUP(LEFT(E273,1),'03 Angle scoreboard'!A:B,2,FALSE),"")</f>
        <v/>
      </c>
      <c r="N273" t="n">
        <v>1</v>
      </c>
      <c r="O273" t="n">
        <v>300</v>
      </c>
      <c r="P273" s="6">
        <f>IF(AND(K273="Approved",L273&gt;=5000),MIN(O273,L273/1000*N273),0)</f>
        <v/>
      </c>
    </row>
    <row r="274">
      <c r="F274">
        <f>IFERROR(VLOOKUP(LEFT(E274,1),'03 Angle scoreboard'!A:B,2,FALSE),"")</f>
        <v/>
      </c>
      <c r="N274" t="n">
        <v>1</v>
      </c>
      <c r="O274" t="n">
        <v>300</v>
      </c>
      <c r="P274" s="6">
        <f>IF(AND(K274="Approved",L274&gt;=5000),MIN(O274,L274/1000*N274),0)</f>
        <v/>
      </c>
    </row>
    <row r="275">
      <c r="F275">
        <f>IFERROR(VLOOKUP(LEFT(E275,1),'03 Angle scoreboard'!A:B,2,FALSE),"")</f>
        <v/>
      </c>
      <c r="N275" t="n">
        <v>1</v>
      </c>
      <c r="O275" t="n">
        <v>300</v>
      </c>
      <c r="P275" s="6">
        <f>IF(AND(K275="Approved",L275&gt;=5000),MIN(O275,L275/1000*N275),0)</f>
        <v/>
      </c>
    </row>
    <row r="276">
      <c r="F276">
        <f>IFERROR(VLOOKUP(LEFT(E276,1),'03 Angle scoreboard'!A:B,2,FALSE),"")</f>
        <v/>
      </c>
      <c r="N276" t="n">
        <v>1</v>
      </c>
      <c r="O276" t="n">
        <v>300</v>
      </c>
      <c r="P276" s="6">
        <f>IF(AND(K276="Approved",L276&gt;=5000),MIN(O276,L276/1000*N276),0)</f>
        <v/>
      </c>
    </row>
    <row r="277">
      <c r="F277">
        <f>IFERROR(VLOOKUP(LEFT(E277,1),'03 Angle scoreboard'!A:B,2,FALSE),"")</f>
        <v/>
      </c>
      <c r="N277" t="n">
        <v>1</v>
      </c>
      <c r="O277" t="n">
        <v>300</v>
      </c>
      <c r="P277" s="6">
        <f>IF(AND(K277="Approved",L277&gt;=5000),MIN(O277,L277/1000*N277),0)</f>
        <v/>
      </c>
    </row>
    <row r="278">
      <c r="F278">
        <f>IFERROR(VLOOKUP(LEFT(E278,1),'03 Angle scoreboard'!A:B,2,FALSE),"")</f>
        <v/>
      </c>
      <c r="N278" t="n">
        <v>1</v>
      </c>
      <c r="O278" t="n">
        <v>300</v>
      </c>
      <c r="P278" s="6">
        <f>IF(AND(K278="Approved",L278&gt;=5000),MIN(O278,L278/1000*N278),0)</f>
        <v/>
      </c>
    </row>
    <row r="279">
      <c r="F279">
        <f>IFERROR(VLOOKUP(LEFT(E279,1),'03 Angle scoreboard'!A:B,2,FALSE),"")</f>
        <v/>
      </c>
      <c r="N279" t="n">
        <v>1</v>
      </c>
      <c r="O279" t="n">
        <v>300</v>
      </c>
      <c r="P279" s="6">
        <f>IF(AND(K279="Approved",L279&gt;=5000),MIN(O279,L279/1000*N279),0)</f>
        <v/>
      </c>
    </row>
    <row r="280">
      <c r="F280">
        <f>IFERROR(VLOOKUP(LEFT(E280,1),'03 Angle scoreboard'!A:B,2,FALSE),"")</f>
        <v/>
      </c>
      <c r="N280" t="n">
        <v>1</v>
      </c>
      <c r="O280" t="n">
        <v>300</v>
      </c>
      <c r="P280" s="6">
        <f>IF(AND(K280="Approved",L280&gt;=5000),MIN(O280,L280/1000*N280),0)</f>
        <v/>
      </c>
    </row>
    <row r="281">
      <c r="F281">
        <f>IFERROR(VLOOKUP(LEFT(E281,1),'03 Angle scoreboard'!A:B,2,FALSE),"")</f>
        <v/>
      </c>
      <c r="N281" t="n">
        <v>1</v>
      </c>
      <c r="O281" t="n">
        <v>300</v>
      </c>
      <c r="P281" s="6">
        <f>IF(AND(K281="Approved",L281&gt;=5000),MIN(O281,L281/1000*N281),0)</f>
        <v/>
      </c>
    </row>
    <row r="282">
      <c r="F282">
        <f>IFERROR(VLOOKUP(LEFT(E282,1),'03 Angle scoreboard'!A:B,2,FALSE),"")</f>
        <v/>
      </c>
      <c r="N282" t="n">
        <v>1</v>
      </c>
      <c r="O282" t="n">
        <v>300</v>
      </c>
      <c r="P282" s="6">
        <f>IF(AND(K282="Approved",L282&gt;=5000),MIN(O282,L282/1000*N282),0)</f>
        <v/>
      </c>
    </row>
    <row r="283">
      <c r="F283">
        <f>IFERROR(VLOOKUP(LEFT(E283,1),'03 Angle scoreboard'!A:B,2,FALSE),"")</f>
        <v/>
      </c>
      <c r="N283" t="n">
        <v>1</v>
      </c>
      <c r="O283" t="n">
        <v>300</v>
      </c>
      <c r="P283" s="6">
        <f>IF(AND(K283="Approved",L283&gt;=5000),MIN(O283,L283/1000*N283),0)</f>
        <v/>
      </c>
    </row>
    <row r="284">
      <c r="F284">
        <f>IFERROR(VLOOKUP(LEFT(E284,1),'03 Angle scoreboard'!A:B,2,FALSE),"")</f>
        <v/>
      </c>
      <c r="N284" t="n">
        <v>1</v>
      </c>
      <c r="O284" t="n">
        <v>300</v>
      </c>
      <c r="P284" s="6">
        <f>IF(AND(K284="Approved",L284&gt;=5000),MIN(O284,L284/1000*N284),0)</f>
        <v/>
      </c>
    </row>
    <row r="285">
      <c r="F285">
        <f>IFERROR(VLOOKUP(LEFT(E285,1),'03 Angle scoreboard'!A:B,2,FALSE),"")</f>
        <v/>
      </c>
      <c r="N285" t="n">
        <v>1</v>
      </c>
      <c r="O285" t="n">
        <v>300</v>
      </c>
      <c r="P285" s="6">
        <f>IF(AND(K285="Approved",L285&gt;=5000),MIN(O285,L285/1000*N285),0)</f>
        <v/>
      </c>
    </row>
    <row r="286">
      <c r="F286">
        <f>IFERROR(VLOOKUP(LEFT(E286,1),'03 Angle scoreboard'!A:B,2,FALSE),"")</f>
        <v/>
      </c>
      <c r="N286" t="n">
        <v>1</v>
      </c>
      <c r="O286" t="n">
        <v>300</v>
      </c>
      <c r="P286" s="6">
        <f>IF(AND(K286="Approved",L286&gt;=5000),MIN(O286,L286/1000*N286),0)</f>
        <v/>
      </c>
    </row>
    <row r="287">
      <c r="F287">
        <f>IFERROR(VLOOKUP(LEFT(E287,1),'03 Angle scoreboard'!A:B,2,FALSE),"")</f>
        <v/>
      </c>
      <c r="N287" t="n">
        <v>1</v>
      </c>
      <c r="O287" t="n">
        <v>300</v>
      </c>
      <c r="P287" s="6">
        <f>IF(AND(K287="Approved",L287&gt;=5000),MIN(O287,L287/1000*N287),0)</f>
        <v/>
      </c>
    </row>
    <row r="288">
      <c r="F288">
        <f>IFERROR(VLOOKUP(LEFT(E288,1),'03 Angle scoreboard'!A:B,2,FALSE),"")</f>
        <v/>
      </c>
      <c r="N288" t="n">
        <v>1</v>
      </c>
      <c r="O288" t="n">
        <v>300</v>
      </c>
      <c r="P288" s="6">
        <f>IF(AND(K288="Approved",L288&gt;=5000),MIN(O288,L288/1000*N288),0)</f>
        <v/>
      </c>
    </row>
    <row r="289">
      <c r="F289">
        <f>IFERROR(VLOOKUP(LEFT(E289,1),'03 Angle scoreboard'!A:B,2,FALSE),"")</f>
        <v/>
      </c>
      <c r="N289" t="n">
        <v>1</v>
      </c>
      <c r="O289" t="n">
        <v>300</v>
      </c>
      <c r="P289" s="6">
        <f>IF(AND(K289="Approved",L289&gt;=5000),MIN(O289,L289/1000*N289),0)</f>
        <v/>
      </c>
    </row>
    <row r="290">
      <c r="F290">
        <f>IFERROR(VLOOKUP(LEFT(E290,1),'03 Angle scoreboard'!A:B,2,FALSE),"")</f>
        <v/>
      </c>
      <c r="N290" t="n">
        <v>1</v>
      </c>
      <c r="O290" t="n">
        <v>300</v>
      </c>
      <c r="P290" s="6">
        <f>IF(AND(K290="Approved",L290&gt;=5000),MIN(O290,L290/1000*N290),0)</f>
        <v/>
      </c>
    </row>
    <row r="291">
      <c r="F291">
        <f>IFERROR(VLOOKUP(LEFT(E291,1),'03 Angle scoreboard'!A:B,2,FALSE),"")</f>
        <v/>
      </c>
      <c r="N291" t="n">
        <v>1</v>
      </c>
      <c r="O291" t="n">
        <v>300</v>
      </c>
      <c r="P291" s="6">
        <f>IF(AND(K291="Approved",L291&gt;=5000),MIN(O291,L291/1000*N291),0)</f>
        <v/>
      </c>
    </row>
    <row r="292">
      <c r="F292">
        <f>IFERROR(VLOOKUP(LEFT(E292,1),'03 Angle scoreboard'!A:B,2,FALSE),"")</f>
        <v/>
      </c>
      <c r="N292" t="n">
        <v>1</v>
      </c>
      <c r="O292" t="n">
        <v>300</v>
      </c>
      <c r="P292" s="6">
        <f>IF(AND(K292="Approved",L292&gt;=5000),MIN(O292,L292/1000*N292),0)</f>
        <v/>
      </c>
    </row>
    <row r="293">
      <c r="F293">
        <f>IFERROR(VLOOKUP(LEFT(E293,1),'03 Angle scoreboard'!A:B,2,FALSE),"")</f>
        <v/>
      </c>
      <c r="N293" t="n">
        <v>1</v>
      </c>
      <c r="O293" t="n">
        <v>300</v>
      </c>
      <c r="P293" s="6">
        <f>IF(AND(K293="Approved",L293&gt;=5000),MIN(O293,L293/1000*N293),0)</f>
        <v/>
      </c>
    </row>
    <row r="294">
      <c r="F294">
        <f>IFERROR(VLOOKUP(LEFT(E294,1),'03 Angle scoreboard'!A:B,2,FALSE),"")</f>
        <v/>
      </c>
      <c r="N294" t="n">
        <v>1</v>
      </c>
      <c r="O294" t="n">
        <v>300</v>
      </c>
      <c r="P294" s="6">
        <f>IF(AND(K294="Approved",L294&gt;=5000),MIN(O294,L294/1000*N294),0)</f>
        <v/>
      </c>
    </row>
    <row r="295">
      <c r="F295">
        <f>IFERROR(VLOOKUP(LEFT(E295,1),'03 Angle scoreboard'!A:B,2,FALSE),"")</f>
        <v/>
      </c>
      <c r="N295" t="n">
        <v>1</v>
      </c>
      <c r="O295" t="n">
        <v>300</v>
      </c>
      <c r="P295" s="6">
        <f>IF(AND(K295="Approved",L295&gt;=5000),MIN(O295,L295/1000*N295),0)</f>
        <v/>
      </c>
    </row>
    <row r="296">
      <c r="F296">
        <f>IFERROR(VLOOKUP(LEFT(E296,1),'03 Angle scoreboard'!A:B,2,FALSE),"")</f>
        <v/>
      </c>
      <c r="N296" t="n">
        <v>1</v>
      </c>
      <c r="O296" t="n">
        <v>300</v>
      </c>
      <c r="P296" s="6">
        <f>IF(AND(K296="Approved",L296&gt;=5000),MIN(O296,L296/1000*N296),0)</f>
        <v/>
      </c>
    </row>
    <row r="297">
      <c r="F297">
        <f>IFERROR(VLOOKUP(LEFT(E297,1),'03 Angle scoreboard'!A:B,2,FALSE),"")</f>
        <v/>
      </c>
      <c r="N297" t="n">
        <v>1</v>
      </c>
      <c r="O297" t="n">
        <v>300</v>
      </c>
      <c r="P297" s="6">
        <f>IF(AND(K297="Approved",L297&gt;=5000),MIN(O297,L297/1000*N297),0)</f>
        <v/>
      </c>
    </row>
    <row r="298">
      <c r="F298">
        <f>IFERROR(VLOOKUP(LEFT(E298,1),'03 Angle scoreboard'!A:B,2,FALSE),"")</f>
        <v/>
      </c>
      <c r="N298" t="n">
        <v>1</v>
      </c>
      <c r="O298" t="n">
        <v>300</v>
      </c>
      <c r="P298" s="6">
        <f>IF(AND(K298="Approved",L298&gt;=5000),MIN(O298,L298/1000*N298),0)</f>
        <v/>
      </c>
    </row>
    <row r="299">
      <c r="F299">
        <f>IFERROR(VLOOKUP(LEFT(E299,1),'03 Angle scoreboard'!A:B,2,FALSE),"")</f>
        <v/>
      </c>
      <c r="N299" t="n">
        <v>1</v>
      </c>
      <c r="O299" t="n">
        <v>300</v>
      </c>
      <c r="P299" s="6">
        <f>IF(AND(K299="Approved",L299&gt;=5000),MIN(O299,L299/1000*N299),0)</f>
        <v/>
      </c>
    </row>
    <row r="300">
      <c r="F300">
        <f>IFERROR(VLOOKUP(LEFT(E300,1),'03 Angle scoreboard'!A:B,2,FALSE),"")</f>
        <v/>
      </c>
      <c r="N300" t="n">
        <v>1</v>
      </c>
      <c r="O300" t="n">
        <v>300</v>
      </c>
      <c r="P300" s="6">
        <f>IF(AND(K300="Approved",L300&gt;=5000),MIN(O300,L300/1000*N300),0)</f>
        <v/>
      </c>
    </row>
    <row r="301">
      <c r="F301">
        <f>IFERROR(VLOOKUP(LEFT(E301,1),'03 Angle scoreboard'!A:B,2,FALSE),"")</f>
        <v/>
      </c>
      <c r="N301" t="n">
        <v>1</v>
      </c>
      <c r="O301" t="n">
        <v>300</v>
      </c>
      <c r="P301" s="6">
        <f>IF(AND(K301="Approved",L301&gt;=5000),MIN(O301,L301/1000*N301),0)</f>
        <v/>
      </c>
    </row>
    <row r="302">
      <c r="F302">
        <f>IFERROR(VLOOKUP(LEFT(E302,1),'03 Angle scoreboard'!A:B,2,FALSE),"")</f>
        <v/>
      </c>
      <c r="N302" t="n">
        <v>1</v>
      </c>
      <c r="O302" t="n">
        <v>300</v>
      </c>
      <c r="P302" s="6">
        <f>IF(AND(K302="Approved",L302&gt;=5000),MIN(O302,L302/1000*N302),0)</f>
        <v/>
      </c>
    </row>
    <row r="303">
      <c r="F303">
        <f>IFERROR(VLOOKUP(LEFT(E303,1),'03 Angle scoreboard'!A:B,2,FALSE),"")</f>
        <v/>
      </c>
      <c r="N303" t="n">
        <v>1</v>
      </c>
      <c r="O303" t="n">
        <v>300</v>
      </c>
      <c r="P303" s="6">
        <f>IF(AND(K303="Approved",L303&gt;=5000),MIN(O303,L303/1000*N303),0)</f>
        <v/>
      </c>
    </row>
    <row r="304">
      <c r="F304">
        <f>IFERROR(VLOOKUP(LEFT(E304,1),'03 Angle scoreboard'!A:B,2,FALSE),"")</f>
        <v/>
      </c>
      <c r="N304" t="n">
        <v>1</v>
      </c>
      <c r="O304" t="n">
        <v>300</v>
      </c>
      <c r="P304" s="6">
        <f>IF(AND(K304="Approved",L304&gt;=5000),MIN(O304,L304/1000*N304),0)</f>
        <v/>
      </c>
    </row>
    <row r="305">
      <c r="F305">
        <f>IFERROR(VLOOKUP(LEFT(E305,1),'03 Angle scoreboard'!A:B,2,FALSE),"")</f>
        <v/>
      </c>
      <c r="N305" t="n">
        <v>1</v>
      </c>
      <c r="O305" t="n">
        <v>300</v>
      </c>
      <c r="P305" s="6">
        <f>IF(AND(K305="Approved",L305&gt;=5000),MIN(O305,L305/1000*N305),0)</f>
        <v/>
      </c>
    </row>
    <row r="306">
      <c r="F306">
        <f>IFERROR(VLOOKUP(LEFT(E306,1),'03 Angle scoreboard'!A:B,2,FALSE),"")</f>
        <v/>
      </c>
      <c r="N306" t="n">
        <v>1</v>
      </c>
      <c r="O306" t="n">
        <v>300</v>
      </c>
      <c r="P306" s="6">
        <f>IF(AND(K306="Approved",L306&gt;=5000),MIN(O306,L306/1000*N306),0)</f>
        <v/>
      </c>
    </row>
    <row r="307">
      <c r="F307">
        <f>IFERROR(VLOOKUP(LEFT(E307,1),'03 Angle scoreboard'!A:B,2,FALSE),"")</f>
        <v/>
      </c>
      <c r="N307" t="n">
        <v>1</v>
      </c>
      <c r="O307" t="n">
        <v>300</v>
      </c>
      <c r="P307" s="6">
        <f>IF(AND(K307="Approved",L307&gt;=5000),MIN(O307,L307/1000*N307),0)</f>
        <v/>
      </c>
    </row>
    <row r="308">
      <c r="F308">
        <f>IFERROR(VLOOKUP(LEFT(E308,1),'03 Angle scoreboard'!A:B,2,FALSE),"")</f>
        <v/>
      </c>
      <c r="N308" t="n">
        <v>1</v>
      </c>
      <c r="O308" t="n">
        <v>300</v>
      </c>
      <c r="P308" s="6">
        <f>IF(AND(K308="Approved",L308&gt;=5000),MIN(O308,L308/1000*N308),0)</f>
        <v/>
      </c>
    </row>
    <row r="309">
      <c r="F309">
        <f>IFERROR(VLOOKUP(LEFT(E309,1),'03 Angle scoreboard'!A:B,2,FALSE),"")</f>
        <v/>
      </c>
      <c r="N309" t="n">
        <v>1</v>
      </c>
      <c r="O309" t="n">
        <v>300</v>
      </c>
      <c r="P309" s="6">
        <f>IF(AND(K309="Approved",L309&gt;=5000),MIN(O309,L309/1000*N309),0)</f>
        <v/>
      </c>
    </row>
    <row r="310">
      <c r="F310">
        <f>IFERROR(VLOOKUP(LEFT(E310,1),'03 Angle scoreboard'!A:B,2,FALSE),"")</f>
        <v/>
      </c>
      <c r="N310" t="n">
        <v>1</v>
      </c>
      <c r="O310" t="n">
        <v>300</v>
      </c>
      <c r="P310" s="6">
        <f>IF(AND(K310="Approved",L310&gt;=5000),MIN(O310,L310/1000*N310),0)</f>
        <v/>
      </c>
    </row>
    <row r="311">
      <c r="F311">
        <f>IFERROR(VLOOKUP(LEFT(E311,1),'03 Angle scoreboard'!A:B,2,FALSE),"")</f>
        <v/>
      </c>
      <c r="N311" t="n">
        <v>1</v>
      </c>
      <c r="O311" t="n">
        <v>300</v>
      </c>
      <c r="P311" s="6">
        <f>IF(AND(K311="Approved",L311&gt;=5000),MIN(O311,L311/1000*N311),0)</f>
        <v/>
      </c>
    </row>
    <row r="312">
      <c r="F312">
        <f>IFERROR(VLOOKUP(LEFT(E312,1),'03 Angle scoreboard'!A:B,2,FALSE),"")</f>
        <v/>
      </c>
      <c r="N312" t="n">
        <v>1</v>
      </c>
      <c r="O312" t="n">
        <v>300</v>
      </c>
      <c r="P312" s="6">
        <f>IF(AND(K312="Approved",L312&gt;=5000),MIN(O312,L312/1000*N312),0)</f>
        <v/>
      </c>
    </row>
    <row r="313">
      <c r="F313">
        <f>IFERROR(VLOOKUP(LEFT(E313,1),'03 Angle scoreboard'!A:B,2,FALSE),"")</f>
        <v/>
      </c>
      <c r="N313" t="n">
        <v>1</v>
      </c>
      <c r="O313" t="n">
        <v>300</v>
      </c>
      <c r="P313" s="6">
        <f>IF(AND(K313="Approved",L313&gt;=5000),MIN(O313,L313/1000*N313),0)</f>
        <v/>
      </c>
    </row>
    <row r="314">
      <c r="F314">
        <f>IFERROR(VLOOKUP(LEFT(E314,1),'03 Angle scoreboard'!A:B,2,FALSE),"")</f>
        <v/>
      </c>
      <c r="N314" t="n">
        <v>1</v>
      </c>
      <c r="O314" t="n">
        <v>300</v>
      </c>
      <c r="P314" s="6">
        <f>IF(AND(K314="Approved",L314&gt;=5000),MIN(O314,L314/1000*N314),0)</f>
        <v/>
      </c>
    </row>
    <row r="315">
      <c r="F315">
        <f>IFERROR(VLOOKUP(LEFT(E315,1),'03 Angle scoreboard'!A:B,2,FALSE),"")</f>
        <v/>
      </c>
      <c r="N315" t="n">
        <v>1</v>
      </c>
      <c r="O315" t="n">
        <v>300</v>
      </c>
      <c r="P315" s="6">
        <f>IF(AND(K315="Approved",L315&gt;=5000),MIN(O315,L315/1000*N315),0)</f>
        <v/>
      </c>
    </row>
    <row r="316">
      <c r="F316">
        <f>IFERROR(VLOOKUP(LEFT(E316,1),'03 Angle scoreboard'!A:B,2,FALSE),"")</f>
        <v/>
      </c>
      <c r="N316" t="n">
        <v>1</v>
      </c>
      <c r="O316" t="n">
        <v>300</v>
      </c>
      <c r="P316" s="6">
        <f>IF(AND(K316="Approved",L316&gt;=5000),MIN(O316,L316/1000*N316),0)</f>
        <v/>
      </c>
    </row>
    <row r="317">
      <c r="F317">
        <f>IFERROR(VLOOKUP(LEFT(E317,1),'03 Angle scoreboard'!A:B,2,FALSE),"")</f>
        <v/>
      </c>
      <c r="N317" t="n">
        <v>1</v>
      </c>
      <c r="O317" t="n">
        <v>300</v>
      </c>
      <c r="P317" s="6">
        <f>IF(AND(K317="Approved",L317&gt;=5000),MIN(O317,L317/1000*N317),0)</f>
        <v/>
      </c>
    </row>
    <row r="318">
      <c r="F318">
        <f>IFERROR(VLOOKUP(LEFT(E318,1),'03 Angle scoreboard'!A:B,2,FALSE),"")</f>
        <v/>
      </c>
      <c r="N318" t="n">
        <v>1</v>
      </c>
      <c r="O318" t="n">
        <v>300</v>
      </c>
      <c r="P318" s="6">
        <f>IF(AND(K318="Approved",L318&gt;=5000),MIN(O318,L318/1000*N318),0)</f>
        <v/>
      </c>
    </row>
    <row r="319">
      <c r="F319">
        <f>IFERROR(VLOOKUP(LEFT(E319,1),'03 Angle scoreboard'!A:B,2,FALSE),"")</f>
        <v/>
      </c>
      <c r="N319" t="n">
        <v>1</v>
      </c>
      <c r="O319" t="n">
        <v>300</v>
      </c>
      <c r="P319" s="6">
        <f>IF(AND(K319="Approved",L319&gt;=5000),MIN(O319,L319/1000*N319),0)</f>
        <v/>
      </c>
    </row>
    <row r="320">
      <c r="F320">
        <f>IFERROR(VLOOKUP(LEFT(E320,1),'03 Angle scoreboard'!A:B,2,FALSE),"")</f>
        <v/>
      </c>
      <c r="N320" t="n">
        <v>1</v>
      </c>
      <c r="O320" t="n">
        <v>300</v>
      </c>
      <c r="P320" s="6">
        <f>IF(AND(K320="Approved",L320&gt;=5000),MIN(O320,L320/1000*N320),0)</f>
        <v/>
      </c>
    </row>
    <row r="321">
      <c r="F321">
        <f>IFERROR(VLOOKUP(LEFT(E321,1),'03 Angle scoreboard'!A:B,2,FALSE),"")</f>
        <v/>
      </c>
      <c r="N321" t="n">
        <v>1</v>
      </c>
      <c r="O321" t="n">
        <v>300</v>
      </c>
      <c r="P321" s="6">
        <f>IF(AND(K321="Approved",L321&gt;=5000),MIN(O321,L321/1000*N321),0)</f>
        <v/>
      </c>
    </row>
    <row r="322">
      <c r="F322">
        <f>IFERROR(VLOOKUP(LEFT(E322,1),'03 Angle scoreboard'!A:B,2,FALSE),"")</f>
        <v/>
      </c>
      <c r="N322" t="n">
        <v>1</v>
      </c>
      <c r="O322" t="n">
        <v>300</v>
      </c>
      <c r="P322" s="6">
        <f>IF(AND(K322="Approved",L322&gt;=5000),MIN(O322,L322/1000*N322),0)</f>
        <v/>
      </c>
    </row>
    <row r="323">
      <c r="F323">
        <f>IFERROR(VLOOKUP(LEFT(E323,1),'03 Angle scoreboard'!A:B,2,FALSE),"")</f>
        <v/>
      </c>
      <c r="N323" t="n">
        <v>1</v>
      </c>
      <c r="O323" t="n">
        <v>300</v>
      </c>
      <c r="P323" s="6">
        <f>IF(AND(K323="Approved",L323&gt;=5000),MIN(O323,L323/1000*N323),0)</f>
        <v/>
      </c>
    </row>
    <row r="324">
      <c r="F324">
        <f>IFERROR(VLOOKUP(LEFT(E324,1),'03 Angle scoreboard'!A:B,2,FALSE),"")</f>
        <v/>
      </c>
      <c r="N324" t="n">
        <v>1</v>
      </c>
      <c r="O324" t="n">
        <v>300</v>
      </c>
      <c r="P324" s="6">
        <f>IF(AND(K324="Approved",L324&gt;=5000),MIN(O324,L324/1000*N324),0)</f>
        <v/>
      </c>
    </row>
    <row r="325">
      <c r="F325">
        <f>IFERROR(VLOOKUP(LEFT(E325,1),'03 Angle scoreboard'!A:B,2,FALSE),"")</f>
        <v/>
      </c>
      <c r="N325" t="n">
        <v>1</v>
      </c>
      <c r="O325" t="n">
        <v>300</v>
      </c>
      <c r="P325" s="6">
        <f>IF(AND(K325="Approved",L325&gt;=5000),MIN(O325,L325/1000*N325),0)</f>
        <v/>
      </c>
    </row>
    <row r="326">
      <c r="F326">
        <f>IFERROR(VLOOKUP(LEFT(E326,1),'03 Angle scoreboard'!A:B,2,FALSE),"")</f>
        <v/>
      </c>
      <c r="N326" t="n">
        <v>1</v>
      </c>
      <c r="O326" t="n">
        <v>300</v>
      </c>
      <c r="P326" s="6">
        <f>IF(AND(K326="Approved",L326&gt;=5000),MIN(O326,L326/1000*N326),0)</f>
        <v/>
      </c>
    </row>
    <row r="327">
      <c r="F327">
        <f>IFERROR(VLOOKUP(LEFT(E327,1),'03 Angle scoreboard'!A:B,2,FALSE),"")</f>
        <v/>
      </c>
      <c r="N327" t="n">
        <v>1</v>
      </c>
      <c r="O327" t="n">
        <v>300</v>
      </c>
      <c r="P327" s="6">
        <f>IF(AND(K327="Approved",L327&gt;=5000),MIN(O327,L327/1000*N327),0)</f>
        <v/>
      </c>
    </row>
    <row r="328">
      <c r="F328">
        <f>IFERROR(VLOOKUP(LEFT(E328,1),'03 Angle scoreboard'!A:B,2,FALSE),"")</f>
        <v/>
      </c>
      <c r="N328" t="n">
        <v>1</v>
      </c>
      <c r="O328" t="n">
        <v>300</v>
      </c>
      <c r="P328" s="6">
        <f>IF(AND(K328="Approved",L328&gt;=5000),MIN(O328,L328/1000*N328),0)</f>
        <v/>
      </c>
    </row>
    <row r="329">
      <c r="F329">
        <f>IFERROR(VLOOKUP(LEFT(E329,1),'03 Angle scoreboard'!A:B,2,FALSE),"")</f>
        <v/>
      </c>
      <c r="N329" t="n">
        <v>1</v>
      </c>
      <c r="O329" t="n">
        <v>300</v>
      </c>
      <c r="P329" s="6">
        <f>IF(AND(K329="Approved",L329&gt;=5000),MIN(O329,L329/1000*N329),0)</f>
        <v/>
      </c>
    </row>
    <row r="330">
      <c r="F330">
        <f>IFERROR(VLOOKUP(LEFT(E330,1),'03 Angle scoreboard'!A:B,2,FALSE),"")</f>
        <v/>
      </c>
      <c r="N330" t="n">
        <v>1</v>
      </c>
      <c r="O330" t="n">
        <v>300</v>
      </c>
      <c r="P330" s="6">
        <f>IF(AND(K330="Approved",L330&gt;=5000),MIN(O330,L330/1000*N330),0)</f>
        <v/>
      </c>
    </row>
    <row r="331">
      <c r="F331">
        <f>IFERROR(VLOOKUP(LEFT(E331,1),'03 Angle scoreboard'!A:B,2,FALSE),"")</f>
        <v/>
      </c>
      <c r="N331" t="n">
        <v>1</v>
      </c>
      <c r="O331" t="n">
        <v>300</v>
      </c>
      <c r="P331" s="6">
        <f>IF(AND(K331="Approved",L331&gt;=5000),MIN(O331,L331/1000*N331),0)</f>
        <v/>
      </c>
    </row>
    <row r="332">
      <c r="F332">
        <f>IFERROR(VLOOKUP(LEFT(E332,1),'03 Angle scoreboard'!A:B,2,FALSE),"")</f>
        <v/>
      </c>
      <c r="N332" t="n">
        <v>1</v>
      </c>
      <c r="O332" t="n">
        <v>300</v>
      </c>
      <c r="P332" s="6">
        <f>IF(AND(K332="Approved",L332&gt;=5000),MIN(O332,L332/1000*N332),0)</f>
        <v/>
      </c>
    </row>
    <row r="333">
      <c r="F333">
        <f>IFERROR(VLOOKUP(LEFT(E333,1),'03 Angle scoreboard'!A:B,2,FALSE),"")</f>
        <v/>
      </c>
      <c r="N333" t="n">
        <v>1</v>
      </c>
      <c r="O333" t="n">
        <v>300</v>
      </c>
      <c r="P333" s="6">
        <f>IF(AND(K333="Approved",L333&gt;=5000),MIN(O333,L333/1000*N333),0)</f>
        <v/>
      </c>
    </row>
    <row r="334">
      <c r="F334">
        <f>IFERROR(VLOOKUP(LEFT(E334,1),'03 Angle scoreboard'!A:B,2,FALSE),"")</f>
        <v/>
      </c>
      <c r="N334" t="n">
        <v>1</v>
      </c>
      <c r="O334" t="n">
        <v>300</v>
      </c>
      <c r="P334" s="6">
        <f>IF(AND(K334="Approved",L334&gt;=5000),MIN(O334,L334/1000*N334),0)</f>
        <v/>
      </c>
    </row>
    <row r="335">
      <c r="F335">
        <f>IFERROR(VLOOKUP(LEFT(E335,1),'03 Angle scoreboard'!A:B,2,FALSE),"")</f>
        <v/>
      </c>
      <c r="N335" t="n">
        <v>1</v>
      </c>
      <c r="O335" t="n">
        <v>300</v>
      </c>
      <c r="P335" s="6">
        <f>IF(AND(K335="Approved",L335&gt;=5000),MIN(O335,L335/1000*N335),0)</f>
        <v/>
      </c>
    </row>
    <row r="336">
      <c r="F336">
        <f>IFERROR(VLOOKUP(LEFT(E336,1),'03 Angle scoreboard'!A:B,2,FALSE),"")</f>
        <v/>
      </c>
      <c r="N336" t="n">
        <v>1</v>
      </c>
      <c r="O336" t="n">
        <v>300</v>
      </c>
      <c r="P336" s="6">
        <f>IF(AND(K336="Approved",L336&gt;=5000),MIN(O336,L336/1000*N336),0)</f>
        <v/>
      </c>
    </row>
    <row r="337">
      <c r="F337">
        <f>IFERROR(VLOOKUP(LEFT(E337,1),'03 Angle scoreboard'!A:B,2,FALSE),"")</f>
        <v/>
      </c>
      <c r="N337" t="n">
        <v>1</v>
      </c>
      <c r="O337" t="n">
        <v>300</v>
      </c>
      <c r="P337" s="6">
        <f>IF(AND(K337="Approved",L337&gt;=5000),MIN(O337,L337/1000*N337),0)</f>
        <v/>
      </c>
    </row>
    <row r="338">
      <c r="F338">
        <f>IFERROR(VLOOKUP(LEFT(E338,1),'03 Angle scoreboard'!A:B,2,FALSE),"")</f>
        <v/>
      </c>
      <c r="N338" t="n">
        <v>1</v>
      </c>
      <c r="O338" t="n">
        <v>300</v>
      </c>
      <c r="P338" s="6">
        <f>IF(AND(K338="Approved",L338&gt;=5000),MIN(O338,L338/1000*N338),0)</f>
        <v/>
      </c>
    </row>
    <row r="339">
      <c r="F339">
        <f>IFERROR(VLOOKUP(LEFT(E339,1),'03 Angle scoreboard'!A:B,2,FALSE),"")</f>
        <v/>
      </c>
      <c r="N339" t="n">
        <v>1</v>
      </c>
      <c r="O339" t="n">
        <v>300</v>
      </c>
      <c r="P339" s="6">
        <f>IF(AND(K339="Approved",L339&gt;=5000),MIN(O339,L339/1000*N339),0)</f>
        <v/>
      </c>
    </row>
    <row r="340">
      <c r="F340">
        <f>IFERROR(VLOOKUP(LEFT(E340,1),'03 Angle scoreboard'!A:B,2,FALSE),"")</f>
        <v/>
      </c>
      <c r="N340" t="n">
        <v>1</v>
      </c>
      <c r="O340" t="n">
        <v>300</v>
      </c>
      <c r="P340" s="6">
        <f>IF(AND(K340="Approved",L340&gt;=5000),MIN(O340,L340/1000*N340),0)</f>
        <v/>
      </c>
    </row>
    <row r="341">
      <c r="F341">
        <f>IFERROR(VLOOKUP(LEFT(E341,1),'03 Angle scoreboard'!A:B,2,FALSE),"")</f>
        <v/>
      </c>
      <c r="N341" t="n">
        <v>1</v>
      </c>
      <c r="O341" t="n">
        <v>300</v>
      </c>
      <c r="P341" s="6">
        <f>IF(AND(K341="Approved",L341&gt;=5000),MIN(O341,L341/1000*N341),0)</f>
        <v/>
      </c>
    </row>
    <row r="342">
      <c r="F342">
        <f>IFERROR(VLOOKUP(LEFT(E342,1),'03 Angle scoreboard'!A:B,2,FALSE),"")</f>
        <v/>
      </c>
      <c r="N342" t="n">
        <v>1</v>
      </c>
      <c r="O342" t="n">
        <v>300</v>
      </c>
      <c r="P342" s="6">
        <f>IF(AND(K342="Approved",L342&gt;=5000),MIN(O342,L342/1000*N342),0)</f>
        <v/>
      </c>
    </row>
    <row r="343">
      <c r="F343">
        <f>IFERROR(VLOOKUP(LEFT(E343,1),'03 Angle scoreboard'!A:B,2,FALSE),"")</f>
        <v/>
      </c>
      <c r="N343" t="n">
        <v>1</v>
      </c>
      <c r="O343" t="n">
        <v>300</v>
      </c>
      <c r="P343" s="6">
        <f>IF(AND(K343="Approved",L343&gt;=5000),MIN(O343,L343/1000*N343),0)</f>
        <v/>
      </c>
    </row>
    <row r="344">
      <c r="F344">
        <f>IFERROR(VLOOKUP(LEFT(E344,1),'03 Angle scoreboard'!A:B,2,FALSE),"")</f>
        <v/>
      </c>
      <c r="N344" t="n">
        <v>1</v>
      </c>
      <c r="O344" t="n">
        <v>300</v>
      </c>
      <c r="P344" s="6">
        <f>IF(AND(K344="Approved",L344&gt;=5000),MIN(O344,L344/1000*N344),0)</f>
        <v/>
      </c>
    </row>
    <row r="345">
      <c r="F345">
        <f>IFERROR(VLOOKUP(LEFT(E345,1),'03 Angle scoreboard'!A:B,2,FALSE),"")</f>
        <v/>
      </c>
      <c r="N345" t="n">
        <v>1</v>
      </c>
      <c r="O345" t="n">
        <v>300</v>
      </c>
      <c r="P345" s="6">
        <f>IF(AND(K345="Approved",L345&gt;=5000),MIN(O345,L345/1000*N345),0)</f>
        <v/>
      </c>
    </row>
    <row r="346">
      <c r="F346">
        <f>IFERROR(VLOOKUP(LEFT(E346,1),'03 Angle scoreboard'!A:B,2,FALSE),"")</f>
        <v/>
      </c>
      <c r="N346" t="n">
        <v>1</v>
      </c>
      <c r="O346" t="n">
        <v>300</v>
      </c>
      <c r="P346" s="6">
        <f>IF(AND(K346="Approved",L346&gt;=5000),MIN(O346,L346/1000*N346),0)</f>
        <v/>
      </c>
    </row>
    <row r="347">
      <c r="F347">
        <f>IFERROR(VLOOKUP(LEFT(E347,1),'03 Angle scoreboard'!A:B,2,FALSE),"")</f>
        <v/>
      </c>
      <c r="N347" t="n">
        <v>1</v>
      </c>
      <c r="O347" t="n">
        <v>300</v>
      </c>
      <c r="P347" s="6">
        <f>IF(AND(K347="Approved",L347&gt;=5000),MIN(O347,L347/1000*N347),0)</f>
        <v/>
      </c>
    </row>
    <row r="348">
      <c r="F348">
        <f>IFERROR(VLOOKUP(LEFT(E348,1),'03 Angle scoreboard'!A:B,2,FALSE),"")</f>
        <v/>
      </c>
      <c r="N348" t="n">
        <v>1</v>
      </c>
      <c r="O348" t="n">
        <v>300</v>
      </c>
      <c r="P348" s="6">
        <f>IF(AND(K348="Approved",L348&gt;=5000),MIN(O348,L348/1000*N348),0)</f>
        <v/>
      </c>
    </row>
    <row r="349">
      <c r="F349">
        <f>IFERROR(VLOOKUP(LEFT(E349,1),'03 Angle scoreboard'!A:B,2,FALSE),"")</f>
        <v/>
      </c>
      <c r="N349" t="n">
        <v>1</v>
      </c>
      <c r="O349" t="n">
        <v>300</v>
      </c>
      <c r="P349" s="6">
        <f>IF(AND(K349="Approved",L349&gt;=5000),MIN(O349,L349/1000*N349),0)</f>
        <v/>
      </c>
    </row>
    <row r="350">
      <c r="F350">
        <f>IFERROR(VLOOKUP(LEFT(E350,1),'03 Angle scoreboard'!A:B,2,FALSE),"")</f>
        <v/>
      </c>
      <c r="N350" t="n">
        <v>1</v>
      </c>
      <c r="O350" t="n">
        <v>300</v>
      </c>
      <c r="P350" s="6">
        <f>IF(AND(K350="Approved",L350&gt;=5000),MIN(O350,L350/1000*N350),0)</f>
        <v/>
      </c>
    </row>
    <row r="351">
      <c r="F351">
        <f>IFERROR(VLOOKUP(LEFT(E351,1),'03 Angle scoreboard'!A:B,2,FALSE),"")</f>
        <v/>
      </c>
      <c r="N351" t="n">
        <v>1</v>
      </c>
      <c r="O351" t="n">
        <v>300</v>
      </c>
      <c r="P351" s="6">
        <f>IF(AND(K351="Approved",L351&gt;=5000),MIN(O351,L351/1000*N351),0)</f>
        <v/>
      </c>
    </row>
    <row r="352">
      <c r="F352">
        <f>IFERROR(VLOOKUP(LEFT(E352,1),'03 Angle scoreboard'!A:B,2,FALSE),"")</f>
        <v/>
      </c>
      <c r="N352" t="n">
        <v>1</v>
      </c>
      <c r="O352" t="n">
        <v>300</v>
      </c>
      <c r="P352" s="6">
        <f>IF(AND(K352="Approved",L352&gt;=5000),MIN(O352,L352/1000*N352),0)</f>
        <v/>
      </c>
    </row>
    <row r="353">
      <c r="F353">
        <f>IFERROR(VLOOKUP(LEFT(E353,1),'03 Angle scoreboard'!A:B,2,FALSE),"")</f>
        <v/>
      </c>
      <c r="N353" t="n">
        <v>1</v>
      </c>
      <c r="O353" t="n">
        <v>300</v>
      </c>
      <c r="P353" s="6">
        <f>IF(AND(K353="Approved",L353&gt;=5000),MIN(O353,L353/1000*N353),0)</f>
        <v/>
      </c>
    </row>
    <row r="354">
      <c r="F354">
        <f>IFERROR(VLOOKUP(LEFT(E354,1),'03 Angle scoreboard'!A:B,2,FALSE),"")</f>
        <v/>
      </c>
      <c r="N354" t="n">
        <v>1</v>
      </c>
      <c r="O354" t="n">
        <v>300</v>
      </c>
      <c r="P354" s="6">
        <f>IF(AND(K354="Approved",L354&gt;=5000),MIN(O354,L354/1000*N354),0)</f>
        <v/>
      </c>
    </row>
    <row r="355">
      <c r="F355">
        <f>IFERROR(VLOOKUP(LEFT(E355,1),'03 Angle scoreboard'!A:B,2,FALSE),"")</f>
        <v/>
      </c>
      <c r="N355" t="n">
        <v>1</v>
      </c>
      <c r="O355" t="n">
        <v>300</v>
      </c>
      <c r="P355" s="6">
        <f>IF(AND(K355="Approved",L355&gt;=5000),MIN(O355,L355/1000*N355),0)</f>
        <v/>
      </c>
    </row>
    <row r="356">
      <c r="F356">
        <f>IFERROR(VLOOKUP(LEFT(E356,1),'03 Angle scoreboard'!A:B,2,FALSE),"")</f>
        <v/>
      </c>
      <c r="N356" t="n">
        <v>1</v>
      </c>
      <c r="O356" t="n">
        <v>300</v>
      </c>
      <c r="P356" s="6">
        <f>IF(AND(K356="Approved",L356&gt;=5000),MIN(O356,L356/1000*N356),0)</f>
        <v/>
      </c>
    </row>
    <row r="357">
      <c r="F357">
        <f>IFERROR(VLOOKUP(LEFT(E357,1),'03 Angle scoreboard'!A:B,2,FALSE),"")</f>
        <v/>
      </c>
      <c r="N357" t="n">
        <v>1</v>
      </c>
      <c r="O357" t="n">
        <v>300</v>
      </c>
      <c r="P357" s="6">
        <f>IF(AND(K357="Approved",L357&gt;=5000),MIN(O357,L357/1000*N357),0)</f>
        <v/>
      </c>
    </row>
    <row r="358">
      <c r="F358">
        <f>IFERROR(VLOOKUP(LEFT(E358,1),'03 Angle scoreboard'!A:B,2,FALSE),"")</f>
        <v/>
      </c>
      <c r="N358" t="n">
        <v>1</v>
      </c>
      <c r="O358" t="n">
        <v>300</v>
      </c>
      <c r="P358" s="6">
        <f>IF(AND(K358="Approved",L358&gt;=5000),MIN(O358,L358/1000*N358),0)</f>
        <v/>
      </c>
    </row>
    <row r="359">
      <c r="F359">
        <f>IFERROR(VLOOKUP(LEFT(E359,1),'03 Angle scoreboard'!A:B,2,FALSE),"")</f>
        <v/>
      </c>
      <c r="N359" t="n">
        <v>1</v>
      </c>
      <c r="O359" t="n">
        <v>300</v>
      </c>
      <c r="P359" s="6">
        <f>IF(AND(K359="Approved",L359&gt;=5000),MIN(O359,L359/1000*N359),0)</f>
        <v/>
      </c>
    </row>
    <row r="360">
      <c r="F360">
        <f>IFERROR(VLOOKUP(LEFT(E360,1),'03 Angle scoreboard'!A:B,2,FALSE),"")</f>
        <v/>
      </c>
      <c r="N360" t="n">
        <v>1</v>
      </c>
      <c r="O360" t="n">
        <v>300</v>
      </c>
      <c r="P360" s="6">
        <f>IF(AND(K360="Approved",L360&gt;=5000),MIN(O360,L360/1000*N360),0)</f>
        <v/>
      </c>
    </row>
    <row r="361">
      <c r="F361">
        <f>IFERROR(VLOOKUP(LEFT(E361,1),'03 Angle scoreboard'!A:B,2,FALSE),"")</f>
        <v/>
      </c>
      <c r="N361" t="n">
        <v>1</v>
      </c>
      <c r="O361" t="n">
        <v>300</v>
      </c>
      <c r="P361" s="6">
        <f>IF(AND(K361="Approved",L361&gt;=5000),MIN(O361,L361/1000*N361),0)</f>
        <v/>
      </c>
    </row>
    <row r="362">
      <c r="F362">
        <f>IFERROR(VLOOKUP(LEFT(E362,1),'03 Angle scoreboard'!A:B,2,FALSE),"")</f>
        <v/>
      </c>
      <c r="N362" t="n">
        <v>1</v>
      </c>
      <c r="O362" t="n">
        <v>300</v>
      </c>
      <c r="P362" s="6">
        <f>IF(AND(K362="Approved",L362&gt;=5000),MIN(O362,L362/1000*N362),0)</f>
        <v/>
      </c>
    </row>
    <row r="363">
      <c r="F363">
        <f>IFERROR(VLOOKUP(LEFT(E363,1),'03 Angle scoreboard'!A:B,2,FALSE),"")</f>
        <v/>
      </c>
      <c r="N363" t="n">
        <v>1</v>
      </c>
      <c r="O363" t="n">
        <v>300</v>
      </c>
      <c r="P363" s="6">
        <f>IF(AND(K363="Approved",L363&gt;=5000),MIN(O363,L363/1000*N363),0)</f>
        <v/>
      </c>
    </row>
    <row r="364">
      <c r="F364">
        <f>IFERROR(VLOOKUP(LEFT(E364,1),'03 Angle scoreboard'!A:B,2,FALSE),"")</f>
        <v/>
      </c>
      <c r="N364" t="n">
        <v>1</v>
      </c>
      <c r="O364" t="n">
        <v>300</v>
      </c>
      <c r="P364" s="6">
        <f>IF(AND(K364="Approved",L364&gt;=5000),MIN(O364,L364/1000*N364),0)</f>
        <v/>
      </c>
    </row>
    <row r="365">
      <c r="F365">
        <f>IFERROR(VLOOKUP(LEFT(E365,1),'03 Angle scoreboard'!A:B,2,FALSE),"")</f>
        <v/>
      </c>
      <c r="N365" t="n">
        <v>1</v>
      </c>
      <c r="O365" t="n">
        <v>300</v>
      </c>
      <c r="P365" s="6">
        <f>IF(AND(K365="Approved",L365&gt;=5000),MIN(O365,L365/1000*N365),0)</f>
        <v/>
      </c>
    </row>
    <row r="366">
      <c r="F366">
        <f>IFERROR(VLOOKUP(LEFT(E366,1),'03 Angle scoreboard'!A:B,2,FALSE),"")</f>
        <v/>
      </c>
      <c r="N366" t="n">
        <v>1</v>
      </c>
      <c r="O366" t="n">
        <v>300</v>
      </c>
      <c r="P366" s="6">
        <f>IF(AND(K366="Approved",L366&gt;=5000),MIN(O366,L366/1000*N366),0)</f>
        <v/>
      </c>
    </row>
    <row r="367">
      <c r="F367">
        <f>IFERROR(VLOOKUP(LEFT(E367,1),'03 Angle scoreboard'!A:B,2,FALSE),"")</f>
        <v/>
      </c>
      <c r="N367" t="n">
        <v>1</v>
      </c>
      <c r="O367" t="n">
        <v>300</v>
      </c>
      <c r="P367" s="6">
        <f>IF(AND(K367="Approved",L367&gt;=5000),MIN(O367,L367/1000*N367),0)</f>
        <v/>
      </c>
    </row>
    <row r="368">
      <c r="F368">
        <f>IFERROR(VLOOKUP(LEFT(E368,1),'03 Angle scoreboard'!A:B,2,FALSE),"")</f>
        <v/>
      </c>
      <c r="N368" t="n">
        <v>1</v>
      </c>
      <c r="O368" t="n">
        <v>300</v>
      </c>
      <c r="P368" s="6">
        <f>IF(AND(K368="Approved",L368&gt;=5000),MIN(O368,L368/1000*N368),0)</f>
        <v/>
      </c>
    </row>
    <row r="369">
      <c r="F369">
        <f>IFERROR(VLOOKUP(LEFT(E369,1),'03 Angle scoreboard'!A:B,2,FALSE),"")</f>
        <v/>
      </c>
      <c r="N369" t="n">
        <v>1</v>
      </c>
      <c r="O369" t="n">
        <v>300</v>
      </c>
      <c r="P369" s="6">
        <f>IF(AND(K369="Approved",L369&gt;=5000),MIN(O369,L369/1000*N369),0)</f>
        <v/>
      </c>
    </row>
    <row r="370">
      <c r="F370">
        <f>IFERROR(VLOOKUP(LEFT(E370,1),'03 Angle scoreboard'!A:B,2,FALSE),"")</f>
        <v/>
      </c>
      <c r="N370" t="n">
        <v>1</v>
      </c>
      <c r="O370" t="n">
        <v>300</v>
      </c>
      <c r="P370" s="6">
        <f>IF(AND(K370="Approved",L370&gt;=5000),MIN(O370,L370/1000*N370),0)</f>
        <v/>
      </c>
    </row>
    <row r="371">
      <c r="F371">
        <f>IFERROR(VLOOKUP(LEFT(E371,1),'03 Angle scoreboard'!A:B,2,FALSE),"")</f>
        <v/>
      </c>
      <c r="N371" t="n">
        <v>1</v>
      </c>
      <c r="O371" t="n">
        <v>300</v>
      </c>
      <c r="P371" s="6">
        <f>IF(AND(K371="Approved",L371&gt;=5000),MIN(O371,L371/1000*N371),0)</f>
        <v/>
      </c>
    </row>
    <row r="372">
      <c r="F372">
        <f>IFERROR(VLOOKUP(LEFT(E372,1),'03 Angle scoreboard'!A:B,2,FALSE),"")</f>
        <v/>
      </c>
      <c r="N372" t="n">
        <v>1</v>
      </c>
      <c r="O372" t="n">
        <v>300</v>
      </c>
      <c r="P372" s="6">
        <f>IF(AND(K372="Approved",L372&gt;=5000),MIN(O372,L372/1000*N372),0)</f>
        <v/>
      </c>
    </row>
    <row r="373">
      <c r="F373">
        <f>IFERROR(VLOOKUP(LEFT(E373,1),'03 Angle scoreboard'!A:B,2,FALSE),"")</f>
        <v/>
      </c>
      <c r="N373" t="n">
        <v>1</v>
      </c>
      <c r="O373" t="n">
        <v>300</v>
      </c>
      <c r="P373" s="6">
        <f>IF(AND(K373="Approved",L373&gt;=5000),MIN(O373,L373/1000*N373),0)</f>
        <v/>
      </c>
    </row>
    <row r="374">
      <c r="F374">
        <f>IFERROR(VLOOKUP(LEFT(E374,1),'03 Angle scoreboard'!A:B,2,FALSE),"")</f>
        <v/>
      </c>
      <c r="N374" t="n">
        <v>1</v>
      </c>
      <c r="O374" t="n">
        <v>300</v>
      </c>
      <c r="P374" s="6">
        <f>IF(AND(K374="Approved",L374&gt;=5000),MIN(O374,L374/1000*N374),0)</f>
        <v/>
      </c>
    </row>
    <row r="375">
      <c r="F375">
        <f>IFERROR(VLOOKUP(LEFT(E375,1),'03 Angle scoreboard'!A:B,2,FALSE),"")</f>
        <v/>
      </c>
      <c r="N375" t="n">
        <v>1</v>
      </c>
      <c r="O375" t="n">
        <v>300</v>
      </c>
      <c r="P375" s="6">
        <f>IF(AND(K375="Approved",L375&gt;=5000),MIN(O375,L375/1000*N375),0)</f>
        <v/>
      </c>
    </row>
    <row r="376">
      <c r="F376">
        <f>IFERROR(VLOOKUP(LEFT(E376,1),'03 Angle scoreboard'!A:B,2,FALSE),"")</f>
        <v/>
      </c>
      <c r="N376" t="n">
        <v>1</v>
      </c>
      <c r="O376" t="n">
        <v>300</v>
      </c>
      <c r="P376" s="6">
        <f>IF(AND(K376="Approved",L376&gt;=5000),MIN(O376,L376/1000*N376),0)</f>
        <v/>
      </c>
    </row>
    <row r="377">
      <c r="F377">
        <f>IFERROR(VLOOKUP(LEFT(E377,1),'03 Angle scoreboard'!A:B,2,FALSE),"")</f>
        <v/>
      </c>
      <c r="N377" t="n">
        <v>1</v>
      </c>
      <c r="O377" t="n">
        <v>300</v>
      </c>
      <c r="P377" s="6">
        <f>IF(AND(K377="Approved",L377&gt;=5000),MIN(O377,L377/1000*N377),0)</f>
        <v/>
      </c>
    </row>
    <row r="378">
      <c r="F378">
        <f>IFERROR(VLOOKUP(LEFT(E378,1),'03 Angle scoreboard'!A:B,2,FALSE),"")</f>
        <v/>
      </c>
      <c r="N378" t="n">
        <v>1</v>
      </c>
      <c r="O378" t="n">
        <v>300</v>
      </c>
      <c r="P378" s="6">
        <f>IF(AND(K378="Approved",L378&gt;=5000),MIN(O378,L378/1000*N378),0)</f>
        <v/>
      </c>
    </row>
    <row r="379">
      <c r="F379">
        <f>IFERROR(VLOOKUP(LEFT(E379,1),'03 Angle scoreboard'!A:B,2,FALSE),"")</f>
        <v/>
      </c>
      <c r="N379" t="n">
        <v>1</v>
      </c>
      <c r="O379" t="n">
        <v>300</v>
      </c>
      <c r="P379" s="6">
        <f>IF(AND(K379="Approved",L379&gt;=5000),MIN(O379,L379/1000*N379),0)</f>
        <v/>
      </c>
    </row>
    <row r="380">
      <c r="F380">
        <f>IFERROR(VLOOKUP(LEFT(E380,1),'03 Angle scoreboard'!A:B,2,FALSE),"")</f>
        <v/>
      </c>
      <c r="N380" t="n">
        <v>1</v>
      </c>
      <c r="O380" t="n">
        <v>300</v>
      </c>
      <c r="P380" s="6">
        <f>IF(AND(K380="Approved",L380&gt;=5000),MIN(O380,L380/1000*N380),0)</f>
        <v/>
      </c>
    </row>
    <row r="381">
      <c r="F381">
        <f>IFERROR(VLOOKUP(LEFT(E381,1),'03 Angle scoreboard'!A:B,2,FALSE),"")</f>
        <v/>
      </c>
      <c r="N381" t="n">
        <v>1</v>
      </c>
      <c r="O381" t="n">
        <v>300</v>
      </c>
      <c r="P381" s="6">
        <f>IF(AND(K381="Approved",L381&gt;=5000),MIN(O381,L381/1000*N381),0)</f>
        <v/>
      </c>
    </row>
    <row r="382">
      <c r="F382">
        <f>IFERROR(VLOOKUP(LEFT(E382,1),'03 Angle scoreboard'!A:B,2,FALSE),"")</f>
        <v/>
      </c>
      <c r="N382" t="n">
        <v>1</v>
      </c>
      <c r="O382" t="n">
        <v>300</v>
      </c>
      <c r="P382" s="6">
        <f>IF(AND(K382="Approved",L382&gt;=5000),MIN(O382,L382/1000*N382),0)</f>
        <v/>
      </c>
    </row>
    <row r="383">
      <c r="F383">
        <f>IFERROR(VLOOKUP(LEFT(E383,1),'03 Angle scoreboard'!A:B,2,FALSE),"")</f>
        <v/>
      </c>
      <c r="N383" t="n">
        <v>1</v>
      </c>
      <c r="O383" t="n">
        <v>300</v>
      </c>
      <c r="P383" s="6">
        <f>IF(AND(K383="Approved",L383&gt;=5000),MIN(O383,L383/1000*N383),0)</f>
        <v/>
      </c>
    </row>
    <row r="384">
      <c r="F384">
        <f>IFERROR(VLOOKUP(LEFT(E384,1),'03 Angle scoreboard'!A:B,2,FALSE),"")</f>
        <v/>
      </c>
      <c r="N384" t="n">
        <v>1</v>
      </c>
      <c r="O384" t="n">
        <v>300</v>
      </c>
      <c r="P384" s="6">
        <f>IF(AND(K384="Approved",L384&gt;=5000),MIN(O384,L384/1000*N384),0)</f>
        <v/>
      </c>
    </row>
    <row r="385">
      <c r="F385">
        <f>IFERROR(VLOOKUP(LEFT(E385,1),'03 Angle scoreboard'!A:B,2,FALSE),"")</f>
        <v/>
      </c>
      <c r="N385" t="n">
        <v>1</v>
      </c>
      <c r="O385" t="n">
        <v>300</v>
      </c>
      <c r="P385" s="6">
        <f>IF(AND(K385="Approved",L385&gt;=5000),MIN(O385,L385/1000*N385),0)</f>
        <v/>
      </c>
    </row>
    <row r="386">
      <c r="F386">
        <f>IFERROR(VLOOKUP(LEFT(E386,1),'03 Angle scoreboard'!A:B,2,FALSE),"")</f>
        <v/>
      </c>
      <c r="N386" t="n">
        <v>1</v>
      </c>
      <c r="O386" t="n">
        <v>300</v>
      </c>
      <c r="P386" s="6">
        <f>IF(AND(K386="Approved",L386&gt;=5000),MIN(O386,L386/1000*N386),0)</f>
        <v/>
      </c>
    </row>
    <row r="387">
      <c r="F387">
        <f>IFERROR(VLOOKUP(LEFT(E387,1),'03 Angle scoreboard'!A:B,2,FALSE),"")</f>
        <v/>
      </c>
      <c r="N387" t="n">
        <v>1</v>
      </c>
      <c r="O387" t="n">
        <v>300</v>
      </c>
      <c r="P387" s="6">
        <f>IF(AND(K387="Approved",L387&gt;=5000),MIN(O387,L387/1000*N387),0)</f>
        <v/>
      </c>
    </row>
    <row r="388">
      <c r="F388">
        <f>IFERROR(VLOOKUP(LEFT(E388,1),'03 Angle scoreboard'!A:B,2,FALSE),"")</f>
        <v/>
      </c>
      <c r="N388" t="n">
        <v>1</v>
      </c>
      <c r="O388" t="n">
        <v>300</v>
      </c>
      <c r="P388" s="6">
        <f>IF(AND(K388="Approved",L388&gt;=5000),MIN(O388,L388/1000*N388),0)</f>
        <v/>
      </c>
    </row>
    <row r="389">
      <c r="F389">
        <f>IFERROR(VLOOKUP(LEFT(E389,1),'03 Angle scoreboard'!A:B,2,FALSE),"")</f>
        <v/>
      </c>
      <c r="N389" t="n">
        <v>1</v>
      </c>
      <c r="O389" t="n">
        <v>300</v>
      </c>
      <c r="P389" s="6">
        <f>IF(AND(K389="Approved",L389&gt;=5000),MIN(O389,L389/1000*N389),0)</f>
        <v/>
      </c>
    </row>
    <row r="390">
      <c r="F390">
        <f>IFERROR(VLOOKUP(LEFT(E390,1),'03 Angle scoreboard'!A:B,2,FALSE),"")</f>
        <v/>
      </c>
      <c r="N390" t="n">
        <v>1</v>
      </c>
      <c r="O390" t="n">
        <v>300</v>
      </c>
      <c r="P390" s="6">
        <f>IF(AND(K390="Approved",L390&gt;=5000),MIN(O390,L390/1000*N390),0)</f>
        <v/>
      </c>
    </row>
    <row r="391">
      <c r="F391">
        <f>IFERROR(VLOOKUP(LEFT(E391,1),'03 Angle scoreboard'!A:B,2,FALSE),"")</f>
        <v/>
      </c>
      <c r="N391" t="n">
        <v>1</v>
      </c>
      <c r="O391" t="n">
        <v>300</v>
      </c>
      <c r="P391" s="6">
        <f>IF(AND(K391="Approved",L391&gt;=5000),MIN(O391,L391/1000*N391),0)</f>
        <v/>
      </c>
    </row>
    <row r="392">
      <c r="F392">
        <f>IFERROR(VLOOKUP(LEFT(E392,1),'03 Angle scoreboard'!A:B,2,FALSE),"")</f>
        <v/>
      </c>
      <c r="N392" t="n">
        <v>1</v>
      </c>
      <c r="O392" t="n">
        <v>300</v>
      </c>
      <c r="P392" s="6">
        <f>IF(AND(K392="Approved",L392&gt;=5000),MIN(O392,L392/1000*N392),0)</f>
        <v/>
      </c>
    </row>
    <row r="393">
      <c r="F393">
        <f>IFERROR(VLOOKUP(LEFT(E393,1),'03 Angle scoreboard'!A:B,2,FALSE),"")</f>
        <v/>
      </c>
      <c r="N393" t="n">
        <v>1</v>
      </c>
      <c r="O393" t="n">
        <v>300</v>
      </c>
      <c r="P393" s="6">
        <f>IF(AND(K393="Approved",L393&gt;=5000),MIN(O393,L393/1000*N393),0)</f>
        <v/>
      </c>
    </row>
    <row r="394">
      <c r="F394">
        <f>IFERROR(VLOOKUP(LEFT(E394,1),'03 Angle scoreboard'!A:B,2,FALSE),"")</f>
        <v/>
      </c>
      <c r="N394" t="n">
        <v>1</v>
      </c>
      <c r="O394" t="n">
        <v>300</v>
      </c>
      <c r="P394" s="6">
        <f>IF(AND(K394="Approved",L394&gt;=5000),MIN(O394,L394/1000*N394),0)</f>
        <v/>
      </c>
    </row>
    <row r="395">
      <c r="F395">
        <f>IFERROR(VLOOKUP(LEFT(E395,1),'03 Angle scoreboard'!A:B,2,FALSE),"")</f>
        <v/>
      </c>
      <c r="N395" t="n">
        <v>1</v>
      </c>
      <c r="O395" t="n">
        <v>300</v>
      </c>
      <c r="P395" s="6">
        <f>IF(AND(K395="Approved",L395&gt;=5000),MIN(O395,L395/1000*N395),0)</f>
        <v/>
      </c>
    </row>
    <row r="396">
      <c r="F396">
        <f>IFERROR(VLOOKUP(LEFT(E396,1),'03 Angle scoreboard'!A:B,2,FALSE),"")</f>
        <v/>
      </c>
      <c r="N396" t="n">
        <v>1</v>
      </c>
      <c r="O396" t="n">
        <v>300</v>
      </c>
      <c r="P396" s="6">
        <f>IF(AND(K396="Approved",L396&gt;=5000),MIN(O396,L396/1000*N396),0)</f>
        <v/>
      </c>
    </row>
    <row r="397">
      <c r="F397">
        <f>IFERROR(VLOOKUP(LEFT(E397,1),'03 Angle scoreboard'!A:B,2,FALSE),"")</f>
        <v/>
      </c>
      <c r="N397" t="n">
        <v>1</v>
      </c>
      <c r="O397" t="n">
        <v>300</v>
      </c>
      <c r="P397" s="6">
        <f>IF(AND(K397="Approved",L397&gt;=5000),MIN(O397,L397/1000*N397),0)</f>
        <v/>
      </c>
    </row>
    <row r="398">
      <c r="F398">
        <f>IFERROR(VLOOKUP(LEFT(E398,1),'03 Angle scoreboard'!A:B,2,FALSE),"")</f>
        <v/>
      </c>
      <c r="N398" t="n">
        <v>1</v>
      </c>
      <c r="O398" t="n">
        <v>300</v>
      </c>
      <c r="P398" s="6">
        <f>IF(AND(K398="Approved",L398&gt;=5000),MIN(O398,L398/1000*N398),0)</f>
        <v/>
      </c>
    </row>
    <row r="399">
      <c r="F399">
        <f>IFERROR(VLOOKUP(LEFT(E399,1),'03 Angle scoreboard'!A:B,2,FALSE),"")</f>
        <v/>
      </c>
      <c r="N399" t="n">
        <v>1</v>
      </c>
      <c r="O399" t="n">
        <v>300</v>
      </c>
      <c r="P399" s="6">
        <f>IF(AND(K399="Approved",L399&gt;=5000),MIN(O399,L399/1000*N399),0)</f>
        <v/>
      </c>
    </row>
    <row r="400">
      <c r="F400">
        <f>IFERROR(VLOOKUP(LEFT(E400,1),'03 Angle scoreboard'!A:B,2,FALSE),"")</f>
        <v/>
      </c>
      <c r="N400" t="n">
        <v>1</v>
      </c>
      <c r="O400" t="n">
        <v>300</v>
      </c>
      <c r="P400" s="6">
        <f>IF(AND(K400="Approved",L400&gt;=5000),MIN(O400,L400/1000*N400),0)</f>
        <v/>
      </c>
    </row>
    <row r="401">
      <c r="F401">
        <f>IFERROR(VLOOKUP(LEFT(E401,1),'03 Angle scoreboard'!A:B,2,FALSE),"")</f>
        <v/>
      </c>
      <c r="N401" t="n">
        <v>1</v>
      </c>
      <c r="O401" t="n">
        <v>300</v>
      </c>
      <c r="P401" s="6">
        <f>IF(AND(K401="Approved",L401&gt;=5000),MIN(O401,L401/1000*N401),0)</f>
        <v/>
      </c>
    </row>
    <row r="402">
      <c r="F402">
        <f>IFERROR(VLOOKUP(LEFT(E402,1),'03 Angle scoreboard'!A:B,2,FALSE),"")</f>
        <v/>
      </c>
      <c r="N402" t="n">
        <v>1</v>
      </c>
      <c r="O402" t="n">
        <v>300</v>
      </c>
      <c r="P402" s="6">
        <f>IF(AND(K402="Approved",L402&gt;=5000),MIN(O402,L402/1000*N402),0)</f>
        <v/>
      </c>
    </row>
    <row r="403">
      <c r="F403">
        <f>IFERROR(VLOOKUP(LEFT(E403,1),'03 Angle scoreboard'!A:B,2,FALSE),"")</f>
        <v/>
      </c>
      <c r="N403" t="n">
        <v>1</v>
      </c>
      <c r="O403" t="n">
        <v>300</v>
      </c>
      <c r="P403" s="6">
        <f>IF(AND(K403="Approved",L403&gt;=5000),MIN(O403,L403/1000*N403),0)</f>
        <v/>
      </c>
    </row>
    <row r="404">
      <c r="F404">
        <f>IFERROR(VLOOKUP(LEFT(E404,1),'03 Angle scoreboard'!A:B,2,FALSE),"")</f>
        <v/>
      </c>
      <c r="N404" t="n">
        <v>1</v>
      </c>
      <c r="O404" t="n">
        <v>300</v>
      </c>
      <c r="P404" s="6">
        <f>IF(AND(K404="Approved",L404&gt;=5000),MIN(O404,L404/1000*N404),0)</f>
        <v/>
      </c>
    </row>
    <row r="405">
      <c r="F405">
        <f>IFERROR(VLOOKUP(LEFT(E405,1),'03 Angle scoreboard'!A:B,2,FALSE),"")</f>
        <v/>
      </c>
      <c r="N405" t="n">
        <v>1</v>
      </c>
      <c r="O405" t="n">
        <v>300</v>
      </c>
      <c r="P405" s="6">
        <f>IF(AND(K405="Approved",L405&gt;=5000),MIN(O405,L405/1000*N405),0)</f>
        <v/>
      </c>
    </row>
    <row r="406">
      <c r="F406">
        <f>IFERROR(VLOOKUP(LEFT(E406,1),'03 Angle scoreboard'!A:B,2,FALSE),"")</f>
        <v/>
      </c>
      <c r="N406" t="n">
        <v>1</v>
      </c>
      <c r="O406" t="n">
        <v>300</v>
      </c>
      <c r="P406" s="6">
        <f>IF(AND(K406="Approved",L406&gt;=5000),MIN(O406,L406/1000*N406),0)</f>
        <v/>
      </c>
    </row>
    <row r="407">
      <c r="F407">
        <f>IFERROR(VLOOKUP(LEFT(E407,1),'03 Angle scoreboard'!A:B,2,FALSE),"")</f>
        <v/>
      </c>
      <c r="N407" t="n">
        <v>1</v>
      </c>
      <c r="O407" t="n">
        <v>300</v>
      </c>
      <c r="P407" s="6">
        <f>IF(AND(K407="Approved",L407&gt;=5000),MIN(O407,L407/1000*N407),0)</f>
        <v/>
      </c>
    </row>
    <row r="408">
      <c r="F408">
        <f>IFERROR(VLOOKUP(LEFT(E408,1),'03 Angle scoreboard'!A:B,2,FALSE),"")</f>
        <v/>
      </c>
      <c r="N408" t="n">
        <v>1</v>
      </c>
      <c r="O408" t="n">
        <v>300</v>
      </c>
      <c r="P408" s="6">
        <f>IF(AND(K408="Approved",L408&gt;=5000),MIN(O408,L408/1000*N408),0)</f>
        <v/>
      </c>
    </row>
    <row r="409">
      <c r="F409">
        <f>IFERROR(VLOOKUP(LEFT(E409,1),'03 Angle scoreboard'!A:B,2,FALSE),"")</f>
        <v/>
      </c>
      <c r="N409" t="n">
        <v>1</v>
      </c>
      <c r="O409" t="n">
        <v>300</v>
      </c>
      <c r="P409" s="6">
        <f>IF(AND(K409="Approved",L409&gt;=5000),MIN(O409,L409/1000*N409),0)</f>
        <v/>
      </c>
    </row>
    <row r="410">
      <c r="F410">
        <f>IFERROR(VLOOKUP(LEFT(E410,1),'03 Angle scoreboard'!A:B,2,FALSE),"")</f>
        <v/>
      </c>
      <c r="N410" t="n">
        <v>1</v>
      </c>
      <c r="O410" t="n">
        <v>300</v>
      </c>
      <c r="P410" s="6">
        <f>IF(AND(K410="Approved",L410&gt;=5000),MIN(O410,L410/1000*N410),0)</f>
        <v/>
      </c>
    </row>
    <row r="411">
      <c r="F411">
        <f>IFERROR(VLOOKUP(LEFT(E411,1),'03 Angle scoreboard'!A:B,2,FALSE),"")</f>
        <v/>
      </c>
      <c r="N411" t="n">
        <v>1</v>
      </c>
      <c r="O411" t="n">
        <v>300</v>
      </c>
      <c r="P411" s="6">
        <f>IF(AND(K411="Approved",L411&gt;=5000),MIN(O411,L411/1000*N411),0)</f>
        <v/>
      </c>
    </row>
    <row r="412">
      <c r="F412">
        <f>IFERROR(VLOOKUP(LEFT(E412,1),'03 Angle scoreboard'!A:B,2,FALSE),"")</f>
        <v/>
      </c>
      <c r="N412" t="n">
        <v>1</v>
      </c>
      <c r="O412" t="n">
        <v>300</v>
      </c>
      <c r="P412" s="6">
        <f>IF(AND(K412="Approved",L412&gt;=5000),MIN(O412,L412/1000*N412),0)</f>
        <v/>
      </c>
    </row>
    <row r="413">
      <c r="F413">
        <f>IFERROR(VLOOKUP(LEFT(E413,1),'03 Angle scoreboard'!A:B,2,FALSE),"")</f>
        <v/>
      </c>
      <c r="N413" t="n">
        <v>1</v>
      </c>
      <c r="O413" t="n">
        <v>300</v>
      </c>
      <c r="P413" s="6">
        <f>IF(AND(K413="Approved",L413&gt;=5000),MIN(O413,L413/1000*N413),0)</f>
        <v/>
      </c>
    </row>
    <row r="414">
      <c r="F414">
        <f>IFERROR(VLOOKUP(LEFT(E414,1),'03 Angle scoreboard'!A:B,2,FALSE),"")</f>
        <v/>
      </c>
      <c r="N414" t="n">
        <v>1</v>
      </c>
      <c r="O414" t="n">
        <v>300</v>
      </c>
      <c r="P414" s="6">
        <f>IF(AND(K414="Approved",L414&gt;=5000),MIN(O414,L414/1000*N414),0)</f>
        <v/>
      </c>
    </row>
    <row r="415">
      <c r="F415">
        <f>IFERROR(VLOOKUP(LEFT(E415,1),'03 Angle scoreboard'!A:B,2,FALSE),"")</f>
        <v/>
      </c>
      <c r="N415" t="n">
        <v>1</v>
      </c>
      <c r="O415" t="n">
        <v>300</v>
      </c>
      <c r="P415" s="6">
        <f>IF(AND(K415="Approved",L415&gt;=5000),MIN(O415,L415/1000*N415),0)</f>
        <v/>
      </c>
    </row>
    <row r="416">
      <c r="F416">
        <f>IFERROR(VLOOKUP(LEFT(E416,1),'03 Angle scoreboard'!A:B,2,FALSE),"")</f>
        <v/>
      </c>
      <c r="N416" t="n">
        <v>1</v>
      </c>
      <c r="O416" t="n">
        <v>300</v>
      </c>
      <c r="P416" s="6">
        <f>IF(AND(K416="Approved",L416&gt;=5000),MIN(O416,L416/1000*N416),0)</f>
        <v/>
      </c>
    </row>
    <row r="417">
      <c r="F417">
        <f>IFERROR(VLOOKUP(LEFT(E417,1),'03 Angle scoreboard'!A:B,2,FALSE),"")</f>
        <v/>
      </c>
      <c r="N417" t="n">
        <v>1</v>
      </c>
      <c r="O417" t="n">
        <v>300</v>
      </c>
      <c r="P417" s="6">
        <f>IF(AND(K417="Approved",L417&gt;=5000),MIN(O417,L417/1000*N417),0)</f>
        <v/>
      </c>
    </row>
    <row r="418">
      <c r="F418">
        <f>IFERROR(VLOOKUP(LEFT(E418,1),'03 Angle scoreboard'!A:B,2,FALSE),"")</f>
        <v/>
      </c>
      <c r="N418" t="n">
        <v>1</v>
      </c>
      <c r="O418" t="n">
        <v>300</v>
      </c>
      <c r="P418" s="6">
        <f>IF(AND(K418="Approved",L418&gt;=5000),MIN(O418,L418/1000*N418),0)</f>
        <v/>
      </c>
    </row>
    <row r="419">
      <c r="F419">
        <f>IFERROR(VLOOKUP(LEFT(E419,1),'03 Angle scoreboard'!A:B,2,FALSE),"")</f>
        <v/>
      </c>
      <c r="N419" t="n">
        <v>1</v>
      </c>
      <c r="O419" t="n">
        <v>300</v>
      </c>
      <c r="P419" s="6">
        <f>IF(AND(K419="Approved",L419&gt;=5000),MIN(O419,L419/1000*N419),0)</f>
        <v/>
      </c>
    </row>
    <row r="420">
      <c r="F420">
        <f>IFERROR(VLOOKUP(LEFT(E420,1),'03 Angle scoreboard'!A:B,2,FALSE),"")</f>
        <v/>
      </c>
      <c r="N420" t="n">
        <v>1</v>
      </c>
      <c r="O420" t="n">
        <v>300</v>
      </c>
      <c r="P420" s="6">
        <f>IF(AND(K420="Approved",L420&gt;=5000),MIN(O420,L420/1000*N420),0)</f>
        <v/>
      </c>
    </row>
    <row r="421">
      <c r="F421">
        <f>IFERROR(VLOOKUP(LEFT(E421,1),'03 Angle scoreboard'!A:B,2,FALSE),"")</f>
        <v/>
      </c>
      <c r="N421" t="n">
        <v>1</v>
      </c>
      <c r="O421" t="n">
        <v>300</v>
      </c>
      <c r="P421" s="6">
        <f>IF(AND(K421="Approved",L421&gt;=5000),MIN(O421,L421/1000*N421),0)</f>
        <v/>
      </c>
    </row>
    <row r="422">
      <c r="F422">
        <f>IFERROR(VLOOKUP(LEFT(E422,1),'03 Angle scoreboard'!A:B,2,FALSE),"")</f>
        <v/>
      </c>
      <c r="N422" t="n">
        <v>1</v>
      </c>
      <c r="O422" t="n">
        <v>300</v>
      </c>
      <c r="P422" s="6">
        <f>IF(AND(K422="Approved",L422&gt;=5000),MIN(O422,L422/1000*N422),0)</f>
        <v/>
      </c>
    </row>
    <row r="423">
      <c r="F423">
        <f>IFERROR(VLOOKUP(LEFT(E423,1),'03 Angle scoreboard'!A:B,2,FALSE),"")</f>
        <v/>
      </c>
      <c r="N423" t="n">
        <v>1</v>
      </c>
      <c r="O423" t="n">
        <v>300</v>
      </c>
      <c r="P423" s="6">
        <f>IF(AND(K423="Approved",L423&gt;=5000),MIN(O423,L423/1000*N423),0)</f>
        <v/>
      </c>
    </row>
    <row r="424">
      <c r="F424">
        <f>IFERROR(VLOOKUP(LEFT(E424,1),'03 Angle scoreboard'!A:B,2,FALSE),"")</f>
        <v/>
      </c>
      <c r="N424" t="n">
        <v>1</v>
      </c>
      <c r="O424" t="n">
        <v>300</v>
      </c>
      <c r="P424" s="6">
        <f>IF(AND(K424="Approved",L424&gt;=5000),MIN(O424,L424/1000*N424),0)</f>
        <v/>
      </c>
    </row>
    <row r="425">
      <c r="F425">
        <f>IFERROR(VLOOKUP(LEFT(E425,1),'03 Angle scoreboard'!A:B,2,FALSE),"")</f>
        <v/>
      </c>
      <c r="N425" t="n">
        <v>1</v>
      </c>
      <c r="O425" t="n">
        <v>300</v>
      </c>
      <c r="P425" s="6">
        <f>IF(AND(K425="Approved",L425&gt;=5000),MIN(O425,L425/1000*N425),0)</f>
        <v/>
      </c>
    </row>
    <row r="426">
      <c r="F426">
        <f>IFERROR(VLOOKUP(LEFT(E426,1),'03 Angle scoreboard'!A:B,2,FALSE),"")</f>
        <v/>
      </c>
      <c r="N426" t="n">
        <v>1</v>
      </c>
      <c r="O426" t="n">
        <v>300</v>
      </c>
      <c r="P426" s="6">
        <f>IF(AND(K426="Approved",L426&gt;=5000),MIN(O426,L426/1000*N426),0)</f>
        <v/>
      </c>
    </row>
    <row r="427">
      <c r="F427">
        <f>IFERROR(VLOOKUP(LEFT(E427,1),'03 Angle scoreboard'!A:B,2,FALSE),"")</f>
        <v/>
      </c>
      <c r="N427" t="n">
        <v>1</v>
      </c>
      <c r="O427" t="n">
        <v>300</v>
      </c>
      <c r="P427" s="6">
        <f>IF(AND(K427="Approved",L427&gt;=5000),MIN(O427,L427/1000*N427),0)</f>
        <v/>
      </c>
    </row>
    <row r="428">
      <c r="F428">
        <f>IFERROR(VLOOKUP(LEFT(E428,1),'03 Angle scoreboard'!A:B,2,FALSE),"")</f>
        <v/>
      </c>
      <c r="N428" t="n">
        <v>1</v>
      </c>
      <c r="O428" t="n">
        <v>300</v>
      </c>
      <c r="P428" s="6">
        <f>IF(AND(K428="Approved",L428&gt;=5000),MIN(O428,L428/1000*N428),0)</f>
        <v/>
      </c>
    </row>
    <row r="429">
      <c r="F429">
        <f>IFERROR(VLOOKUP(LEFT(E429,1),'03 Angle scoreboard'!A:B,2,FALSE),"")</f>
        <v/>
      </c>
      <c r="N429" t="n">
        <v>1</v>
      </c>
      <c r="O429" t="n">
        <v>300</v>
      </c>
      <c r="P429" s="6">
        <f>IF(AND(K429="Approved",L429&gt;=5000),MIN(O429,L429/1000*N429),0)</f>
        <v/>
      </c>
    </row>
    <row r="430">
      <c r="F430">
        <f>IFERROR(VLOOKUP(LEFT(E430,1),'03 Angle scoreboard'!A:B,2,FALSE),"")</f>
        <v/>
      </c>
      <c r="N430" t="n">
        <v>1</v>
      </c>
      <c r="O430" t="n">
        <v>300</v>
      </c>
      <c r="P430" s="6">
        <f>IF(AND(K430="Approved",L430&gt;=5000),MIN(O430,L430/1000*N430),0)</f>
        <v/>
      </c>
    </row>
    <row r="431">
      <c r="F431">
        <f>IFERROR(VLOOKUP(LEFT(E431,1),'03 Angle scoreboard'!A:B,2,FALSE),"")</f>
        <v/>
      </c>
      <c r="N431" t="n">
        <v>1</v>
      </c>
      <c r="O431" t="n">
        <v>300</v>
      </c>
      <c r="P431" s="6">
        <f>IF(AND(K431="Approved",L431&gt;=5000),MIN(O431,L431/1000*N431),0)</f>
        <v/>
      </c>
    </row>
    <row r="432">
      <c r="F432">
        <f>IFERROR(VLOOKUP(LEFT(E432,1),'03 Angle scoreboard'!A:B,2,FALSE),"")</f>
        <v/>
      </c>
      <c r="N432" t="n">
        <v>1</v>
      </c>
      <c r="O432" t="n">
        <v>300</v>
      </c>
      <c r="P432" s="6">
        <f>IF(AND(K432="Approved",L432&gt;=5000),MIN(O432,L432/1000*N432),0)</f>
        <v/>
      </c>
    </row>
    <row r="433">
      <c r="F433">
        <f>IFERROR(VLOOKUP(LEFT(E433,1),'03 Angle scoreboard'!A:B,2,FALSE),"")</f>
        <v/>
      </c>
      <c r="N433" t="n">
        <v>1</v>
      </c>
      <c r="O433" t="n">
        <v>300</v>
      </c>
      <c r="P433" s="6">
        <f>IF(AND(K433="Approved",L433&gt;=5000),MIN(O433,L433/1000*N433),0)</f>
        <v/>
      </c>
    </row>
    <row r="434">
      <c r="F434">
        <f>IFERROR(VLOOKUP(LEFT(E434,1),'03 Angle scoreboard'!A:B,2,FALSE),"")</f>
        <v/>
      </c>
      <c r="N434" t="n">
        <v>1</v>
      </c>
      <c r="O434" t="n">
        <v>300</v>
      </c>
      <c r="P434" s="6">
        <f>IF(AND(K434="Approved",L434&gt;=5000),MIN(O434,L434/1000*N434),0)</f>
        <v/>
      </c>
    </row>
    <row r="435">
      <c r="F435">
        <f>IFERROR(VLOOKUP(LEFT(E435,1),'03 Angle scoreboard'!A:B,2,FALSE),"")</f>
        <v/>
      </c>
      <c r="N435" t="n">
        <v>1</v>
      </c>
      <c r="O435" t="n">
        <v>300</v>
      </c>
      <c r="P435" s="6">
        <f>IF(AND(K435="Approved",L435&gt;=5000),MIN(O435,L435/1000*N435),0)</f>
        <v/>
      </c>
    </row>
    <row r="436">
      <c r="F436">
        <f>IFERROR(VLOOKUP(LEFT(E436,1),'03 Angle scoreboard'!A:B,2,FALSE),"")</f>
        <v/>
      </c>
      <c r="N436" t="n">
        <v>1</v>
      </c>
      <c r="O436" t="n">
        <v>300</v>
      </c>
      <c r="P436" s="6">
        <f>IF(AND(K436="Approved",L436&gt;=5000),MIN(O436,L436/1000*N436),0)</f>
        <v/>
      </c>
    </row>
    <row r="437">
      <c r="F437">
        <f>IFERROR(VLOOKUP(LEFT(E437,1),'03 Angle scoreboard'!A:B,2,FALSE),"")</f>
        <v/>
      </c>
      <c r="N437" t="n">
        <v>1</v>
      </c>
      <c r="O437" t="n">
        <v>300</v>
      </c>
      <c r="P437" s="6">
        <f>IF(AND(K437="Approved",L437&gt;=5000),MIN(O437,L437/1000*N437),0)</f>
        <v/>
      </c>
    </row>
    <row r="438">
      <c r="F438">
        <f>IFERROR(VLOOKUP(LEFT(E438,1),'03 Angle scoreboard'!A:B,2,FALSE),"")</f>
        <v/>
      </c>
      <c r="N438" t="n">
        <v>1</v>
      </c>
      <c r="O438" t="n">
        <v>300</v>
      </c>
      <c r="P438" s="6">
        <f>IF(AND(K438="Approved",L438&gt;=5000),MIN(O438,L438/1000*N438),0)</f>
        <v/>
      </c>
    </row>
    <row r="439">
      <c r="F439">
        <f>IFERROR(VLOOKUP(LEFT(E439,1),'03 Angle scoreboard'!A:B,2,FALSE),"")</f>
        <v/>
      </c>
      <c r="N439" t="n">
        <v>1</v>
      </c>
      <c r="O439" t="n">
        <v>300</v>
      </c>
      <c r="P439" s="6">
        <f>IF(AND(K439="Approved",L439&gt;=5000),MIN(O439,L439/1000*N439),0)</f>
        <v/>
      </c>
    </row>
    <row r="440">
      <c r="F440">
        <f>IFERROR(VLOOKUP(LEFT(E440,1),'03 Angle scoreboard'!A:B,2,FALSE),"")</f>
        <v/>
      </c>
      <c r="N440" t="n">
        <v>1</v>
      </c>
      <c r="O440" t="n">
        <v>300</v>
      </c>
      <c r="P440" s="6">
        <f>IF(AND(K440="Approved",L440&gt;=5000),MIN(O440,L440/1000*N440),0)</f>
        <v/>
      </c>
    </row>
    <row r="441">
      <c r="F441">
        <f>IFERROR(VLOOKUP(LEFT(E441,1),'03 Angle scoreboard'!A:B,2,FALSE),"")</f>
        <v/>
      </c>
      <c r="N441" t="n">
        <v>1</v>
      </c>
      <c r="O441" t="n">
        <v>300</v>
      </c>
      <c r="P441" s="6">
        <f>IF(AND(K441="Approved",L441&gt;=5000),MIN(O441,L441/1000*N441),0)</f>
        <v/>
      </c>
    </row>
    <row r="442">
      <c r="F442">
        <f>IFERROR(VLOOKUP(LEFT(E442,1),'03 Angle scoreboard'!A:B,2,FALSE),"")</f>
        <v/>
      </c>
      <c r="N442" t="n">
        <v>1</v>
      </c>
      <c r="O442" t="n">
        <v>300</v>
      </c>
      <c r="P442" s="6">
        <f>IF(AND(K442="Approved",L442&gt;=5000),MIN(O442,L442/1000*N442),0)</f>
        <v/>
      </c>
    </row>
    <row r="443">
      <c r="F443">
        <f>IFERROR(VLOOKUP(LEFT(E443,1),'03 Angle scoreboard'!A:B,2,FALSE),"")</f>
        <v/>
      </c>
      <c r="N443" t="n">
        <v>1</v>
      </c>
      <c r="O443" t="n">
        <v>300</v>
      </c>
      <c r="P443" s="6">
        <f>IF(AND(K443="Approved",L443&gt;=5000),MIN(O443,L443/1000*N443),0)</f>
        <v/>
      </c>
    </row>
    <row r="444">
      <c r="F444">
        <f>IFERROR(VLOOKUP(LEFT(E444,1),'03 Angle scoreboard'!A:B,2,FALSE),"")</f>
        <v/>
      </c>
      <c r="N444" t="n">
        <v>1</v>
      </c>
      <c r="O444" t="n">
        <v>300</v>
      </c>
      <c r="P444" s="6">
        <f>IF(AND(K444="Approved",L444&gt;=5000),MIN(O444,L444/1000*N444),0)</f>
        <v/>
      </c>
    </row>
    <row r="445">
      <c r="F445">
        <f>IFERROR(VLOOKUP(LEFT(E445,1),'03 Angle scoreboard'!A:B,2,FALSE),"")</f>
        <v/>
      </c>
      <c r="N445" t="n">
        <v>1</v>
      </c>
      <c r="O445" t="n">
        <v>300</v>
      </c>
      <c r="P445" s="6">
        <f>IF(AND(K445="Approved",L445&gt;=5000),MIN(O445,L445/1000*N445),0)</f>
        <v/>
      </c>
    </row>
    <row r="446">
      <c r="F446">
        <f>IFERROR(VLOOKUP(LEFT(E446,1),'03 Angle scoreboard'!A:B,2,FALSE),"")</f>
        <v/>
      </c>
      <c r="N446" t="n">
        <v>1</v>
      </c>
      <c r="O446" t="n">
        <v>300</v>
      </c>
      <c r="P446" s="6">
        <f>IF(AND(K446="Approved",L446&gt;=5000),MIN(O446,L446/1000*N446),0)</f>
        <v/>
      </c>
    </row>
    <row r="447">
      <c r="F447">
        <f>IFERROR(VLOOKUP(LEFT(E447,1),'03 Angle scoreboard'!A:B,2,FALSE),"")</f>
        <v/>
      </c>
      <c r="N447" t="n">
        <v>1</v>
      </c>
      <c r="O447" t="n">
        <v>300</v>
      </c>
      <c r="P447" s="6">
        <f>IF(AND(K447="Approved",L447&gt;=5000),MIN(O447,L447/1000*N447),0)</f>
        <v/>
      </c>
    </row>
    <row r="448">
      <c r="F448">
        <f>IFERROR(VLOOKUP(LEFT(E448,1),'03 Angle scoreboard'!A:B,2,FALSE),"")</f>
        <v/>
      </c>
      <c r="N448" t="n">
        <v>1</v>
      </c>
      <c r="O448" t="n">
        <v>300</v>
      </c>
      <c r="P448" s="6">
        <f>IF(AND(K448="Approved",L448&gt;=5000),MIN(O448,L448/1000*N448),0)</f>
        <v/>
      </c>
    </row>
    <row r="449">
      <c r="F449">
        <f>IFERROR(VLOOKUP(LEFT(E449,1),'03 Angle scoreboard'!A:B,2,FALSE),"")</f>
        <v/>
      </c>
      <c r="N449" t="n">
        <v>1</v>
      </c>
      <c r="O449" t="n">
        <v>300</v>
      </c>
      <c r="P449" s="6">
        <f>IF(AND(K449="Approved",L449&gt;=5000),MIN(O449,L449/1000*N449),0)</f>
        <v/>
      </c>
    </row>
    <row r="450">
      <c r="F450">
        <f>IFERROR(VLOOKUP(LEFT(E450,1),'03 Angle scoreboard'!A:B,2,FALSE),"")</f>
        <v/>
      </c>
      <c r="N450" t="n">
        <v>1</v>
      </c>
      <c r="O450" t="n">
        <v>300</v>
      </c>
      <c r="P450" s="6">
        <f>IF(AND(K450="Approved",L450&gt;=5000),MIN(O450,L450/1000*N450),0)</f>
        <v/>
      </c>
    </row>
    <row r="451">
      <c r="F451">
        <f>IFERROR(VLOOKUP(LEFT(E451,1),'03 Angle scoreboard'!A:B,2,FALSE),"")</f>
        <v/>
      </c>
      <c r="N451" t="n">
        <v>1</v>
      </c>
      <c r="O451" t="n">
        <v>300</v>
      </c>
      <c r="P451" s="6">
        <f>IF(AND(K451="Approved",L451&gt;=5000),MIN(O451,L451/1000*N451),0)</f>
        <v/>
      </c>
    </row>
    <row r="452">
      <c r="F452">
        <f>IFERROR(VLOOKUP(LEFT(E452,1),'03 Angle scoreboard'!A:B,2,FALSE),"")</f>
        <v/>
      </c>
      <c r="N452" t="n">
        <v>1</v>
      </c>
      <c r="O452" t="n">
        <v>300</v>
      </c>
      <c r="P452" s="6">
        <f>IF(AND(K452="Approved",L452&gt;=5000),MIN(O452,L452/1000*N452),0)</f>
        <v/>
      </c>
    </row>
    <row r="453">
      <c r="F453">
        <f>IFERROR(VLOOKUP(LEFT(E453,1),'03 Angle scoreboard'!A:B,2,FALSE),"")</f>
        <v/>
      </c>
      <c r="N453" t="n">
        <v>1</v>
      </c>
      <c r="O453" t="n">
        <v>300</v>
      </c>
      <c r="P453" s="6">
        <f>IF(AND(K453="Approved",L453&gt;=5000),MIN(O453,L453/1000*N453),0)</f>
        <v/>
      </c>
    </row>
    <row r="454">
      <c r="F454">
        <f>IFERROR(VLOOKUP(LEFT(E454,1),'03 Angle scoreboard'!A:B,2,FALSE),"")</f>
        <v/>
      </c>
      <c r="N454" t="n">
        <v>1</v>
      </c>
      <c r="O454" t="n">
        <v>300</v>
      </c>
      <c r="P454" s="6">
        <f>IF(AND(K454="Approved",L454&gt;=5000),MIN(O454,L454/1000*N454),0)</f>
        <v/>
      </c>
    </row>
    <row r="455">
      <c r="F455">
        <f>IFERROR(VLOOKUP(LEFT(E455,1),'03 Angle scoreboard'!A:B,2,FALSE),"")</f>
        <v/>
      </c>
      <c r="N455" t="n">
        <v>1</v>
      </c>
      <c r="O455" t="n">
        <v>300</v>
      </c>
      <c r="P455" s="6">
        <f>IF(AND(K455="Approved",L455&gt;=5000),MIN(O455,L455/1000*N455),0)</f>
        <v/>
      </c>
    </row>
    <row r="456">
      <c r="F456">
        <f>IFERROR(VLOOKUP(LEFT(E456,1),'03 Angle scoreboard'!A:B,2,FALSE),"")</f>
        <v/>
      </c>
      <c r="N456" t="n">
        <v>1</v>
      </c>
      <c r="O456" t="n">
        <v>300</v>
      </c>
      <c r="P456" s="6">
        <f>IF(AND(K456="Approved",L456&gt;=5000),MIN(O456,L456/1000*N456),0)</f>
        <v/>
      </c>
    </row>
    <row r="457">
      <c r="F457">
        <f>IFERROR(VLOOKUP(LEFT(E457,1),'03 Angle scoreboard'!A:B,2,FALSE),"")</f>
        <v/>
      </c>
      <c r="N457" t="n">
        <v>1</v>
      </c>
      <c r="O457" t="n">
        <v>300</v>
      </c>
      <c r="P457" s="6">
        <f>IF(AND(K457="Approved",L457&gt;=5000),MIN(O457,L457/1000*N457),0)</f>
        <v/>
      </c>
    </row>
    <row r="458">
      <c r="F458">
        <f>IFERROR(VLOOKUP(LEFT(E458,1),'03 Angle scoreboard'!A:B,2,FALSE),"")</f>
        <v/>
      </c>
      <c r="N458" t="n">
        <v>1</v>
      </c>
      <c r="O458" t="n">
        <v>300</v>
      </c>
      <c r="P458" s="6">
        <f>IF(AND(K458="Approved",L458&gt;=5000),MIN(O458,L458/1000*N458),0)</f>
        <v/>
      </c>
    </row>
    <row r="459">
      <c r="F459">
        <f>IFERROR(VLOOKUP(LEFT(E459,1),'03 Angle scoreboard'!A:B,2,FALSE),"")</f>
        <v/>
      </c>
      <c r="N459" t="n">
        <v>1</v>
      </c>
      <c r="O459" t="n">
        <v>300</v>
      </c>
      <c r="P459" s="6">
        <f>IF(AND(K459="Approved",L459&gt;=5000),MIN(O459,L459/1000*N459),0)</f>
        <v/>
      </c>
    </row>
    <row r="460">
      <c r="F460">
        <f>IFERROR(VLOOKUP(LEFT(E460,1),'03 Angle scoreboard'!A:B,2,FALSE),"")</f>
        <v/>
      </c>
      <c r="N460" t="n">
        <v>1</v>
      </c>
      <c r="O460" t="n">
        <v>300</v>
      </c>
      <c r="P460" s="6">
        <f>IF(AND(K460="Approved",L460&gt;=5000),MIN(O460,L460/1000*N460),0)</f>
        <v/>
      </c>
    </row>
    <row r="461">
      <c r="F461">
        <f>IFERROR(VLOOKUP(LEFT(E461,1),'03 Angle scoreboard'!A:B,2,FALSE),"")</f>
        <v/>
      </c>
      <c r="N461" t="n">
        <v>1</v>
      </c>
      <c r="O461" t="n">
        <v>300</v>
      </c>
      <c r="P461" s="6">
        <f>IF(AND(K461="Approved",L461&gt;=5000),MIN(O461,L461/1000*N461),0)</f>
        <v/>
      </c>
    </row>
    <row r="462">
      <c r="F462">
        <f>IFERROR(VLOOKUP(LEFT(E462,1),'03 Angle scoreboard'!A:B,2,FALSE),"")</f>
        <v/>
      </c>
      <c r="N462" t="n">
        <v>1</v>
      </c>
      <c r="O462" t="n">
        <v>300</v>
      </c>
      <c r="P462" s="6">
        <f>IF(AND(K462="Approved",L462&gt;=5000),MIN(O462,L462/1000*N462),0)</f>
        <v/>
      </c>
    </row>
    <row r="463">
      <c r="F463">
        <f>IFERROR(VLOOKUP(LEFT(E463,1),'03 Angle scoreboard'!A:B,2,FALSE),"")</f>
        <v/>
      </c>
      <c r="N463" t="n">
        <v>1</v>
      </c>
      <c r="O463" t="n">
        <v>300</v>
      </c>
      <c r="P463" s="6">
        <f>IF(AND(K463="Approved",L463&gt;=5000),MIN(O463,L463/1000*N463),0)</f>
        <v/>
      </c>
    </row>
    <row r="464">
      <c r="F464">
        <f>IFERROR(VLOOKUP(LEFT(E464,1),'03 Angle scoreboard'!A:B,2,FALSE),"")</f>
        <v/>
      </c>
      <c r="N464" t="n">
        <v>1</v>
      </c>
      <c r="O464" t="n">
        <v>300</v>
      </c>
      <c r="P464" s="6">
        <f>IF(AND(K464="Approved",L464&gt;=5000),MIN(O464,L464/1000*N464),0)</f>
        <v/>
      </c>
    </row>
    <row r="465">
      <c r="F465">
        <f>IFERROR(VLOOKUP(LEFT(E465,1),'03 Angle scoreboard'!A:B,2,FALSE),"")</f>
        <v/>
      </c>
      <c r="N465" t="n">
        <v>1</v>
      </c>
      <c r="O465" t="n">
        <v>300</v>
      </c>
      <c r="P465" s="6">
        <f>IF(AND(K465="Approved",L465&gt;=5000),MIN(O465,L465/1000*N465),0)</f>
        <v/>
      </c>
    </row>
    <row r="466">
      <c r="F466">
        <f>IFERROR(VLOOKUP(LEFT(E466,1),'03 Angle scoreboard'!A:B,2,FALSE),"")</f>
        <v/>
      </c>
      <c r="N466" t="n">
        <v>1</v>
      </c>
      <c r="O466" t="n">
        <v>300</v>
      </c>
      <c r="P466" s="6">
        <f>IF(AND(K466="Approved",L466&gt;=5000),MIN(O466,L466/1000*N466),0)</f>
        <v/>
      </c>
    </row>
    <row r="467">
      <c r="F467">
        <f>IFERROR(VLOOKUP(LEFT(E467,1),'03 Angle scoreboard'!A:B,2,FALSE),"")</f>
        <v/>
      </c>
      <c r="N467" t="n">
        <v>1</v>
      </c>
      <c r="O467" t="n">
        <v>300</v>
      </c>
      <c r="P467" s="6">
        <f>IF(AND(K467="Approved",L467&gt;=5000),MIN(O467,L467/1000*N467),0)</f>
        <v/>
      </c>
    </row>
    <row r="468">
      <c r="F468">
        <f>IFERROR(VLOOKUP(LEFT(E468,1),'03 Angle scoreboard'!A:B,2,FALSE),"")</f>
        <v/>
      </c>
      <c r="N468" t="n">
        <v>1</v>
      </c>
      <c r="O468" t="n">
        <v>300</v>
      </c>
      <c r="P468" s="6">
        <f>IF(AND(K468="Approved",L468&gt;=5000),MIN(O468,L468/1000*N468),0)</f>
        <v/>
      </c>
    </row>
    <row r="469">
      <c r="F469">
        <f>IFERROR(VLOOKUP(LEFT(E469,1),'03 Angle scoreboard'!A:B,2,FALSE),"")</f>
        <v/>
      </c>
      <c r="N469" t="n">
        <v>1</v>
      </c>
      <c r="O469" t="n">
        <v>300</v>
      </c>
      <c r="P469" s="6">
        <f>IF(AND(K469="Approved",L469&gt;=5000),MIN(O469,L469/1000*N469),0)</f>
        <v/>
      </c>
    </row>
    <row r="470">
      <c r="F470">
        <f>IFERROR(VLOOKUP(LEFT(E470,1),'03 Angle scoreboard'!A:B,2,FALSE),"")</f>
        <v/>
      </c>
      <c r="N470" t="n">
        <v>1</v>
      </c>
      <c r="O470" t="n">
        <v>300</v>
      </c>
      <c r="P470" s="6">
        <f>IF(AND(K470="Approved",L470&gt;=5000),MIN(O470,L470/1000*N470),0)</f>
        <v/>
      </c>
    </row>
    <row r="471">
      <c r="F471">
        <f>IFERROR(VLOOKUP(LEFT(E471,1),'03 Angle scoreboard'!A:B,2,FALSE),"")</f>
        <v/>
      </c>
      <c r="N471" t="n">
        <v>1</v>
      </c>
      <c r="O471" t="n">
        <v>300</v>
      </c>
      <c r="P471" s="6">
        <f>IF(AND(K471="Approved",L471&gt;=5000),MIN(O471,L471/1000*N471),0)</f>
        <v/>
      </c>
    </row>
    <row r="472">
      <c r="F472">
        <f>IFERROR(VLOOKUP(LEFT(E472,1),'03 Angle scoreboard'!A:B,2,FALSE),"")</f>
        <v/>
      </c>
      <c r="N472" t="n">
        <v>1</v>
      </c>
      <c r="O472" t="n">
        <v>300</v>
      </c>
      <c r="P472" s="6">
        <f>IF(AND(K472="Approved",L472&gt;=5000),MIN(O472,L472/1000*N472),0)</f>
        <v/>
      </c>
    </row>
    <row r="473">
      <c r="F473">
        <f>IFERROR(VLOOKUP(LEFT(E473,1),'03 Angle scoreboard'!A:B,2,FALSE),"")</f>
        <v/>
      </c>
      <c r="N473" t="n">
        <v>1</v>
      </c>
      <c r="O473" t="n">
        <v>300</v>
      </c>
      <c r="P473" s="6">
        <f>IF(AND(K473="Approved",L473&gt;=5000),MIN(O473,L473/1000*N473),0)</f>
        <v/>
      </c>
    </row>
    <row r="474">
      <c r="F474">
        <f>IFERROR(VLOOKUP(LEFT(E474,1),'03 Angle scoreboard'!A:B,2,FALSE),"")</f>
        <v/>
      </c>
      <c r="N474" t="n">
        <v>1</v>
      </c>
      <c r="O474" t="n">
        <v>300</v>
      </c>
      <c r="P474" s="6">
        <f>IF(AND(K474="Approved",L474&gt;=5000),MIN(O474,L474/1000*N474),0)</f>
        <v/>
      </c>
    </row>
    <row r="475">
      <c r="F475">
        <f>IFERROR(VLOOKUP(LEFT(E475,1),'03 Angle scoreboard'!A:B,2,FALSE),"")</f>
        <v/>
      </c>
      <c r="N475" t="n">
        <v>1</v>
      </c>
      <c r="O475" t="n">
        <v>300</v>
      </c>
      <c r="P475" s="6">
        <f>IF(AND(K475="Approved",L475&gt;=5000),MIN(O475,L475/1000*N475),0)</f>
        <v/>
      </c>
    </row>
    <row r="476">
      <c r="F476">
        <f>IFERROR(VLOOKUP(LEFT(E476,1),'03 Angle scoreboard'!A:B,2,FALSE),"")</f>
        <v/>
      </c>
      <c r="N476" t="n">
        <v>1</v>
      </c>
      <c r="O476" t="n">
        <v>300</v>
      </c>
      <c r="P476" s="6">
        <f>IF(AND(K476="Approved",L476&gt;=5000),MIN(O476,L476/1000*N476),0)</f>
        <v/>
      </c>
    </row>
    <row r="477">
      <c r="F477">
        <f>IFERROR(VLOOKUP(LEFT(E477,1),'03 Angle scoreboard'!A:B,2,FALSE),"")</f>
        <v/>
      </c>
      <c r="N477" t="n">
        <v>1</v>
      </c>
      <c r="O477" t="n">
        <v>300</v>
      </c>
      <c r="P477" s="6">
        <f>IF(AND(K477="Approved",L477&gt;=5000),MIN(O477,L477/1000*N477),0)</f>
        <v/>
      </c>
    </row>
    <row r="478">
      <c r="F478">
        <f>IFERROR(VLOOKUP(LEFT(E478,1),'03 Angle scoreboard'!A:B,2,FALSE),"")</f>
        <v/>
      </c>
      <c r="N478" t="n">
        <v>1</v>
      </c>
      <c r="O478" t="n">
        <v>300</v>
      </c>
      <c r="P478" s="6">
        <f>IF(AND(K478="Approved",L478&gt;=5000),MIN(O478,L478/1000*N478),0)</f>
        <v/>
      </c>
    </row>
    <row r="479">
      <c r="F479">
        <f>IFERROR(VLOOKUP(LEFT(E479,1),'03 Angle scoreboard'!A:B,2,FALSE),"")</f>
        <v/>
      </c>
      <c r="N479" t="n">
        <v>1</v>
      </c>
      <c r="O479" t="n">
        <v>300</v>
      </c>
      <c r="P479" s="6">
        <f>IF(AND(K479="Approved",L479&gt;=5000),MIN(O479,L479/1000*N479),0)</f>
        <v/>
      </c>
    </row>
    <row r="480">
      <c r="F480">
        <f>IFERROR(VLOOKUP(LEFT(E480,1),'03 Angle scoreboard'!A:B,2,FALSE),"")</f>
        <v/>
      </c>
      <c r="N480" t="n">
        <v>1</v>
      </c>
      <c r="O480" t="n">
        <v>300</v>
      </c>
      <c r="P480" s="6">
        <f>IF(AND(K480="Approved",L480&gt;=5000),MIN(O480,L480/1000*N480),0)</f>
        <v/>
      </c>
    </row>
    <row r="481">
      <c r="F481">
        <f>IFERROR(VLOOKUP(LEFT(E481,1),'03 Angle scoreboard'!A:B,2,FALSE),"")</f>
        <v/>
      </c>
      <c r="N481" t="n">
        <v>1</v>
      </c>
      <c r="O481" t="n">
        <v>300</v>
      </c>
      <c r="P481" s="6">
        <f>IF(AND(K481="Approved",L481&gt;=5000),MIN(O481,L481/1000*N481),0)</f>
        <v/>
      </c>
    </row>
    <row r="482">
      <c r="F482">
        <f>IFERROR(VLOOKUP(LEFT(E482,1),'03 Angle scoreboard'!A:B,2,FALSE),"")</f>
        <v/>
      </c>
      <c r="N482" t="n">
        <v>1</v>
      </c>
      <c r="O482" t="n">
        <v>300</v>
      </c>
      <c r="P482" s="6">
        <f>IF(AND(K482="Approved",L482&gt;=5000),MIN(O482,L482/1000*N482),0)</f>
        <v/>
      </c>
    </row>
    <row r="483">
      <c r="F483">
        <f>IFERROR(VLOOKUP(LEFT(E483,1),'03 Angle scoreboard'!A:B,2,FALSE),"")</f>
        <v/>
      </c>
      <c r="N483" t="n">
        <v>1</v>
      </c>
      <c r="O483" t="n">
        <v>300</v>
      </c>
      <c r="P483" s="6">
        <f>IF(AND(K483="Approved",L483&gt;=5000),MIN(O483,L483/1000*N483),0)</f>
        <v/>
      </c>
    </row>
    <row r="484">
      <c r="F484">
        <f>IFERROR(VLOOKUP(LEFT(E484,1),'03 Angle scoreboard'!A:B,2,FALSE),"")</f>
        <v/>
      </c>
      <c r="N484" t="n">
        <v>1</v>
      </c>
      <c r="O484" t="n">
        <v>300</v>
      </c>
      <c r="P484" s="6">
        <f>IF(AND(K484="Approved",L484&gt;=5000),MIN(O484,L484/1000*N484),0)</f>
        <v/>
      </c>
    </row>
    <row r="485">
      <c r="F485">
        <f>IFERROR(VLOOKUP(LEFT(E485,1),'03 Angle scoreboard'!A:B,2,FALSE),"")</f>
        <v/>
      </c>
      <c r="N485" t="n">
        <v>1</v>
      </c>
      <c r="O485" t="n">
        <v>300</v>
      </c>
      <c r="P485" s="6">
        <f>IF(AND(K485="Approved",L485&gt;=5000),MIN(O485,L485/1000*N485),0)</f>
        <v/>
      </c>
    </row>
    <row r="486">
      <c r="F486">
        <f>IFERROR(VLOOKUP(LEFT(E486,1),'03 Angle scoreboard'!A:B,2,FALSE),"")</f>
        <v/>
      </c>
      <c r="N486" t="n">
        <v>1</v>
      </c>
      <c r="O486" t="n">
        <v>300</v>
      </c>
      <c r="P486" s="6">
        <f>IF(AND(K486="Approved",L486&gt;=5000),MIN(O486,L486/1000*N486),0)</f>
        <v/>
      </c>
    </row>
    <row r="487">
      <c r="F487">
        <f>IFERROR(VLOOKUP(LEFT(E487,1),'03 Angle scoreboard'!A:B,2,FALSE),"")</f>
        <v/>
      </c>
      <c r="N487" t="n">
        <v>1</v>
      </c>
      <c r="O487" t="n">
        <v>300</v>
      </c>
      <c r="P487" s="6">
        <f>IF(AND(K487="Approved",L487&gt;=5000),MIN(O487,L487/1000*N487),0)</f>
        <v/>
      </c>
    </row>
    <row r="488">
      <c r="F488">
        <f>IFERROR(VLOOKUP(LEFT(E488,1),'03 Angle scoreboard'!A:B,2,FALSE),"")</f>
        <v/>
      </c>
      <c r="N488" t="n">
        <v>1</v>
      </c>
      <c r="O488" t="n">
        <v>300</v>
      </c>
      <c r="P488" s="6">
        <f>IF(AND(K488="Approved",L488&gt;=5000),MIN(O488,L488/1000*N488),0)</f>
        <v/>
      </c>
    </row>
    <row r="489">
      <c r="F489">
        <f>IFERROR(VLOOKUP(LEFT(E489,1),'03 Angle scoreboard'!A:B,2,FALSE),"")</f>
        <v/>
      </c>
      <c r="N489" t="n">
        <v>1</v>
      </c>
      <c r="O489" t="n">
        <v>300</v>
      </c>
      <c r="P489" s="6">
        <f>IF(AND(K489="Approved",L489&gt;=5000),MIN(O489,L489/1000*N489),0)</f>
        <v/>
      </c>
    </row>
    <row r="490">
      <c r="F490">
        <f>IFERROR(VLOOKUP(LEFT(E490,1),'03 Angle scoreboard'!A:B,2,FALSE),"")</f>
        <v/>
      </c>
      <c r="N490" t="n">
        <v>1</v>
      </c>
      <c r="O490" t="n">
        <v>300</v>
      </c>
      <c r="P490" s="6">
        <f>IF(AND(K490="Approved",L490&gt;=5000),MIN(O490,L490/1000*N490),0)</f>
        <v/>
      </c>
    </row>
    <row r="491">
      <c r="F491">
        <f>IFERROR(VLOOKUP(LEFT(E491,1),'03 Angle scoreboard'!A:B,2,FALSE),"")</f>
        <v/>
      </c>
      <c r="N491" t="n">
        <v>1</v>
      </c>
      <c r="O491" t="n">
        <v>300</v>
      </c>
      <c r="P491" s="6">
        <f>IF(AND(K491="Approved",L491&gt;=5000),MIN(O491,L491/1000*N491),0)</f>
        <v/>
      </c>
    </row>
    <row r="492">
      <c r="F492">
        <f>IFERROR(VLOOKUP(LEFT(E492,1),'03 Angle scoreboard'!A:B,2,FALSE),"")</f>
        <v/>
      </c>
      <c r="N492" t="n">
        <v>1</v>
      </c>
      <c r="O492" t="n">
        <v>300</v>
      </c>
      <c r="P492" s="6">
        <f>IF(AND(K492="Approved",L492&gt;=5000),MIN(O492,L492/1000*N492),0)</f>
        <v/>
      </c>
    </row>
    <row r="493">
      <c r="F493">
        <f>IFERROR(VLOOKUP(LEFT(E493,1),'03 Angle scoreboard'!A:B,2,FALSE),"")</f>
        <v/>
      </c>
      <c r="N493" t="n">
        <v>1</v>
      </c>
      <c r="O493" t="n">
        <v>300</v>
      </c>
      <c r="P493" s="6">
        <f>IF(AND(K493="Approved",L493&gt;=5000),MIN(O493,L493/1000*N493),0)</f>
        <v/>
      </c>
    </row>
    <row r="494">
      <c r="F494">
        <f>IFERROR(VLOOKUP(LEFT(E494,1),'03 Angle scoreboard'!A:B,2,FALSE),"")</f>
        <v/>
      </c>
      <c r="N494" t="n">
        <v>1</v>
      </c>
      <c r="O494" t="n">
        <v>300</v>
      </c>
      <c r="P494" s="6">
        <f>IF(AND(K494="Approved",L494&gt;=5000),MIN(O494,L494/1000*N494),0)</f>
        <v/>
      </c>
    </row>
    <row r="495">
      <c r="F495">
        <f>IFERROR(VLOOKUP(LEFT(E495,1),'03 Angle scoreboard'!A:B,2,FALSE),"")</f>
        <v/>
      </c>
      <c r="N495" t="n">
        <v>1</v>
      </c>
      <c r="O495" t="n">
        <v>300</v>
      </c>
      <c r="P495" s="6">
        <f>IF(AND(K495="Approved",L495&gt;=5000),MIN(O495,L495/1000*N495),0)</f>
        <v/>
      </c>
    </row>
    <row r="496">
      <c r="F496">
        <f>IFERROR(VLOOKUP(LEFT(E496,1),'03 Angle scoreboard'!A:B,2,FALSE),"")</f>
        <v/>
      </c>
      <c r="N496" t="n">
        <v>1</v>
      </c>
      <c r="O496" t="n">
        <v>300</v>
      </c>
      <c r="P496" s="6">
        <f>IF(AND(K496="Approved",L496&gt;=5000),MIN(O496,L496/1000*N496),0)</f>
        <v/>
      </c>
    </row>
    <row r="497">
      <c r="F497">
        <f>IFERROR(VLOOKUP(LEFT(E497,1),'03 Angle scoreboard'!A:B,2,FALSE),"")</f>
        <v/>
      </c>
      <c r="N497" t="n">
        <v>1</v>
      </c>
      <c r="O497" t="n">
        <v>300</v>
      </c>
      <c r="P497" s="6">
        <f>IF(AND(K497="Approved",L497&gt;=5000),MIN(O497,L497/1000*N497),0)</f>
        <v/>
      </c>
    </row>
    <row r="498">
      <c r="F498">
        <f>IFERROR(VLOOKUP(LEFT(E498,1),'03 Angle scoreboard'!A:B,2,FALSE),"")</f>
        <v/>
      </c>
      <c r="N498" t="n">
        <v>1</v>
      </c>
      <c r="O498" t="n">
        <v>300</v>
      </c>
      <c r="P498" s="6">
        <f>IF(AND(K498="Approved",L498&gt;=5000),MIN(O498,L498/1000*N498),0)</f>
        <v/>
      </c>
    </row>
    <row r="499">
      <c r="F499">
        <f>IFERROR(VLOOKUP(LEFT(E499,1),'03 Angle scoreboard'!A:B,2,FALSE),"")</f>
        <v/>
      </c>
      <c r="N499" t="n">
        <v>1</v>
      </c>
      <c r="O499" t="n">
        <v>300</v>
      </c>
      <c r="P499" s="6">
        <f>IF(AND(K499="Approved",L499&gt;=5000),MIN(O499,L499/1000*N499),0)</f>
        <v/>
      </c>
    </row>
    <row r="500">
      <c r="F500">
        <f>IFERROR(VLOOKUP(LEFT(E500,1),'03 Angle scoreboard'!A:B,2,FALSE),"")</f>
        <v/>
      </c>
      <c r="N500" t="n">
        <v>1</v>
      </c>
      <c r="O500" t="n">
        <v>300</v>
      </c>
      <c r="P500" s="6">
        <f>IF(AND(K500="Approved",L500&gt;=5000),MIN(O500,L500/1000*N500),0)</f>
        <v/>
      </c>
    </row>
  </sheetData>
  <dataValidations count="7">
    <dataValidation sqref="C2:C500" showDropDown="0" showInputMessage="0" showErrorMessage="0" allowBlank="1" type="list">
      <formula1>"TikTok,Instagram,YouTube Shorts"</formula1>
    </dataValidation>
    <dataValidation sqref="H2:H500" showDropDown="0" showInputMessage="0" showErrorMessage="0" allowBlank="1" type="list">
      <formula1>"Y,N"</formula1>
    </dataValidation>
    <dataValidation sqref="I2:I500" showDropDown="0" showInputMessage="0" showErrorMessage="0" allowBlank="1" type="list">
      <formula1>"Y,N"</formula1>
    </dataValidation>
    <dataValidation sqref="J2:J500" showDropDown="0" showInputMessage="0" showErrorMessage="0" allowBlank="1" type="list">
      <formula1>"Y,N"</formula1>
    </dataValidation>
    <dataValidation sqref="K2:K500" showDropDown="0" showInputMessage="0" showErrorMessage="0" allowBlank="1" type="list">
      <formula1>"Pending,Approved,Refused,Paid"</formula1>
    </dataValidation>
    <dataValidation sqref="Q2:Q500" showDropDown="0" showInputMessage="0" showErrorMessage="0" allowBlank="1" type="list">
      <formula1>"Yes,No"</formula1>
    </dataValidation>
    <dataValidation sqref="R2:R500" showDropDown="0" showInputMessage="0" showErrorMessage="0" allowBlank="1" type="list">
      <formula1>"Yes,No,Maybe"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4CF1"/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6" customWidth="1" min="5" max="5"/>
    <col width="30" customWidth="1" min="6" max="6"/>
  </cols>
  <sheetData>
    <row r="1" ht="32" customHeight="1">
      <c r="A1" s="5" t="inlineStr">
        <is>
          <t>Script ID</t>
        </is>
      </c>
      <c r="B1" s="5" t="inlineStr">
        <is>
          <t># videos</t>
        </is>
      </c>
      <c r="C1" s="5" t="inlineStr">
        <is>
          <t>Total views</t>
        </is>
      </c>
      <c r="D1" s="5" t="inlineStr">
        <is>
          <t>Payout ($)</t>
        </is>
      </c>
      <c r="E1" s="5" t="inlineStr">
        <is>
          <t>Avg views / video</t>
        </is>
      </c>
      <c r="F1" s="5" t="inlineStr">
        <is>
          <t>Verdict</t>
        </is>
      </c>
    </row>
    <row r="2">
      <c r="A2" s="7" t="inlineStr">
        <is>
          <t>A1</t>
        </is>
      </c>
      <c r="B2" s="7">
        <f>COUNTIF('01 Submissions'!E:E,A2)</f>
        <v/>
      </c>
      <c r="C2" s="7">
        <f>SUMIF('01 Submissions'!E:E,A2,'01 Submissions'!L:L)</f>
        <v/>
      </c>
      <c r="D2" s="7">
        <f>SUMIF('01 Submissions'!E:E,A2,'01 Submissions'!P:P)</f>
        <v/>
      </c>
      <c r="E2" s="7">
        <f>IF(B2&gt;0,C2/B2,"")</f>
        <v/>
      </c>
      <c r="F2" s="7" t="inlineStr"/>
    </row>
    <row r="3">
      <c r="A3" s="7" t="inlineStr">
        <is>
          <t>A2</t>
        </is>
      </c>
      <c r="B3" s="7">
        <f>COUNTIF('01 Submissions'!E:E,A3)</f>
        <v/>
      </c>
      <c r="C3" s="7">
        <f>SUMIF('01 Submissions'!E:E,A3,'01 Submissions'!L:L)</f>
        <v/>
      </c>
      <c r="D3" s="7">
        <f>SUMIF('01 Submissions'!E:E,A3,'01 Submissions'!P:P)</f>
        <v/>
      </c>
      <c r="E3" s="7">
        <f>IF(B3&gt;0,C3/B3,"")</f>
        <v/>
      </c>
      <c r="F3" s="7" t="inlineStr"/>
    </row>
    <row r="4">
      <c r="A4" s="7" t="inlineStr">
        <is>
          <t>A3</t>
        </is>
      </c>
      <c r="B4" s="7">
        <f>COUNTIF('01 Submissions'!E:E,A4)</f>
        <v/>
      </c>
      <c r="C4" s="7">
        <f>SUMIF('01 Submissions'!E:E,A4,'01 Submissions'!L:L)</f>
        <v/>
      </c>
      <c r="D4" s="7">
        <f>SUMIF('01 Submissions'!E:E,A4,'01 Submissions'!P:P)</f>
        <v/>
      </c>
      <c r="E4" s="7">
        <f>IF(B4&gt;0,C4/B4,"")</f>
        <v/>
      </c>
      <c r="F4" s="7" t="inlineStr"/>
    </row>
    <row r="5">
      <c r="A5" s="7" t="inlineStr">
        <is>
          <t>A4</t>
        </is>
      </c>
      <c r="B5" s="7">
        <f>COUNTIF('01 Submissions'!E:E,A5)</f>
        <v/>
      </c>
      <c r="C5" s="7">
        <f>SUMIF('01 Submissions'!E:E,A5,'01 Submissions'!L:L)</f>
        <v/>
      </c>
      <c r="D5" s="7">
        <f>SUMIF('01 Submissions'!E:E,A5,'01 Submissions'!P:P)</f>
        <v/>
      </c>
      <c r="E5" s="7">
        <f>IF(B5&gt;0,C5/B5,"")</f>
        <v/>
      </c>
      <c r="F5" s="7" t="inlineStr"/>
    </row>
    <row r="6">
      <c r="A6" s="7" t="inlineStr">
        <is>
          <t>A5</t>
        </is>
      </c>
      <c r="B6" s="7">
        <f>COUNTIF('01 Submissions'!E:E,A6)</f>
        <v/>
      </c>
      <c r="C6" s="7">
        <f>SUMIF('01 Submissions'!E:E,A6,'01 Submissions'!L:L)</f>
        <v/>
      </c>
      <c r="D6" s="7">
        <f>SUMIF('01 Submissions'!E:E,A6,'01 Submissions'!P:P)</f>
        <v/>
      </c>
      <c r="E6" s="7">
        <f>IF(B6&gt;0,C6/B6,"")</f>
        <v/>
      </c>
      <c r="F6" s="7" t="inlineStr"/>
    </row>
    <row r="7">
      <c r="A7" s="7" t="inlineStr">
        <is>
          <t>B1</t>
        </is>
      </c>
      <c r="B7" s="7">
        <f>COUNTIF('01 Submissions'!E:E,A7)</f>
        <v/>
      </c>
      <c r="C7" s="7">
        <f>SUMIF('01 Submissions'!E:E,A7,'01 Submissions'!L:L)</f>
        <v/>
      </c>
      <c r="D7" s="7">
        <f>SUMIF('01 Submissions'!E:E,A7,'01 Submissions'!P:P)</f>
        <v/>
      </c>
      <c r="E7" s="7">
        <f>IF(B7&gt;0,C7/B7,"")</f>
        <v/>
      </c>
      <c r="F7" s="7" t="inlineStr"/>
    </row>
    <row r="8">
      <c r="A8" s="7" t="inlineStr">
        <is>
          <t>B2</t>
        </is>
      </c>
      <c r="B8" s="7">
        <f>COUNTIF('01 Submissions'!E:E,A8)</f>
        <v/>
      </c>
      <c r="C8" s="7">
        <f>SUMIF('01 Submissions'!E:E,A8,'01 Submissions'!L:L)</f>
        <v/>
      </c>
      <c r="D8" s="7">
        <f>SUMIF('01 Submissions'!E:E,A8,'01 Submissions'!P:P)</f>
        <v/>
      </c>
      <c r="E8" s="7">
        <f>IF(B8&gt;0,C8/B8,"")</f>
        <v/>
      </c>
      <c r="F8" s="7" t="inlineStr"/>
    </row>
    <row r="9">
      <c r="A9" s="7" t="inlineStr">
        <is>
          <t>B3</t>
        </is>
      </c>
      <c r="B9" s="7">
        <f>COUNTIF('01 Submissions'!E:E,A9)</f>
        <v/>
      </c>
      <c r="C9" s="7">
        <f>SUMIF('01 Submissions'!E:E,A9,'01 Submissions'!L:L)</f>
        <v/>
      </c>
      <c r="D9" s="7">
        <f>SUMIF('01 Submissions'!E:E,A9,'01 Submissions'!P:P)</f>
        <v/>
      </c>
      <c r="E9" s="7">
        <f>IF(B9&gt;0,C9/B9,"")</f>
        <v/>
      </c>
      <c r="F9" s="7" t="inlineStr"/>
    </row>
    <row r="10">
      <c r="A10" s="7" t="inlineStr">
        <is>
          <t>B4</t>
        </is>
      </c>
      <c r="B10" s="7">
        <f>COUNTIF('01 Submissions'!E:E,A10)</f>
        <v/>
      </c>
      <c r="C10" s="7">
        <f>SUMIF('01 Submissions'!E:E,A10,'01 Submissions'!L:L)</f>
        <v/>
      </c>
      <c r="D10" s="7">
        <f>SUMIF('01 Submissions'!E:E,A10,'01 Submissions'!P:P)</f>
        <v/>
      </c>
      <c r="E10" s="7">
        <f>IF(B10&gt;0,C10/B10,"")</f>
        <v/>
      </c>
      <c r="F10" s="7" t="inlineStr"/>
    </row>
    <row r="11">
      <c r="A11" s="7" t="inlineStr">
        <is>
          <t>B5</t>
        </is>
      </c>
      <c r="B11" s="7">
        <f>COUNTIF('01 Submissions'!E:E,A11)</f>
        <v/>
      </c>
      <c r="C11" s="7">
        <f>SUMIF('01 Submissions'!E:E,A11,'01 Submissions'!L:L)</f>
        <v/>
      </c>
      <c r="D11" s="7">
        <f>SUMIF('01 Submissions'!E:E,A11,'01 Submissions'!P:P)</f>
        <v/>
      </c>
      <c r="E11" s="7">
        <f>IF(B11&gt;0,C11/B11,"")</f>
        <v/>
      </c>
      <c r="F11" s="7" t="inlineStr"/>
    </row>
    <row r="12">
      <c r="A12" s="7" t="inlineStr">
        <is>
          <t>C1</t>
        </is>
      </c>
      <c r="B12" s="7">
        <f>COUNTIF('01 Submissions'!E:E,A12)</f>
        <v/>
      </c>
      <c r="C12" s="7">
        <f>SUMIF('01 Submissions'!E:E,A12,'01 Submissions'!L:L)</f>
        <v/>
      </c>
      <c r="D12" s="7">
        <f>SUMIF('01 Submissions'!E:E,A12,'01 Submissions'!P:P)</f>
        <v/>
      </c>
      <c r="E12" s="7">
        <f>IF(B12&gt;0,C12/B12,"")</f>
        <v/>
      </c>
      <c r="F12" s="7" t="inlineStr"/>
    </row>
    <row r="13">
      <c r="A13" s="7" t="inlineStr">
        <is>
          <t>C2</t>
        </is>
      </c>
      <c r="B13" s="7">
        <f>COUNTIF('01 Submissions'!E:E,A13)</f>
        <v/>
      </c>
      <c r="C13" s="7">
        <f>SUMIF('01 Submissions'!E:E,A13,'01 Submissions'!L:L)</f>
        <v/>
      </c>
      <c r="D13" s="7">
        <f>SUMIF('01 Submissions'!E:E,A13,'01 Submissions'!P:P)</f>
        <v/>
      </c>
      <c r="E13" s="7">
        <f>IF(B13&gt;0,C13/B13,"")</f>
        <v/>
      </c>
      <c r="F13" s="7" t="inlineStr"/>
    </row>
    <row r="14">
      <c r="A14" s="7" t="inlineStr">
        <is>
          <t>C3</t>
        </is>
      </c>
      <c r="B14" s="7">
        <f>COUNTIF('01 Submissions'!E:E,A14)</f>
        <v/>
      </c>
      <c r="C14" s="7">
        <f>SUMIF('01 Submissions'!E:E,A14,'01 Submissions'!L:L)</f>
        <v/>
      </c>
      <c r="D14" s="7">
        <f>SUMIF('01 Submissions'!E:E,A14,'01 Submissions'!P:P)</f>
        <v/>
      </c>
      <c r="E14" s="7">
        <f>IF(B14&gt;0,C14/B14,"")</f>
        <v/>
      </c>
      <c r="F14" s="7" t="inlineStr"/>
    </row>
    <row r="15">
      <c r="A15" s="7" t="inlineStr">
        <is>
          <t>C4</t>
        </is>
      </c>
      <c r="B15" s="7">
        <f>COUNTIF('01 Submissions'!E:E,A15)</f>
        <v/>
      </c>
      <c r="C15" s="7">
        <f>SUMIF('01 Submissions'!E:E,A15,'01 Submissions'!L:L)</f>
        <v/>
      </c>
      <c r="D15" s="7">
        <f>SUMIF('01 Submissions'!E:E,A15,'01 Submissions'!P:P)</f>
        <v/>
      </c>
      <c r="E15" s="7">
        <f>IF(B15&gt;0,C15/B15,"")</f>
        <v/>
      </c>
      <c r="F15" s="7" t="inlineStr"/>
    </row>
    <row r="16">
      <c r="A16" s="7" t="inlineStr">
        <is>
          <t>C5</t>
        </is>
      </c>
      <c r="B16" s="7">
        <f>COUNTIF('01 Submissions'!E:E,A16)</f>
        <v/>
      </c>
      <c r="C16" s="7">
        <f>SUMIF('01 Submissions'!E:E,A16,'01 Submissions'!L:L)</f>
        <v/>
      </c>
      <c r="D16" s="7">
        <f>SUMIF('01 Submissions'!E:E,A16,'01 Submissions'!P:P)</f>
        <v/>
      </c>
      <c r="E16" s="7">
        <f>IF(B16&gt;0,C16/B16,"")</f>
        <v/>
      </c>
      <c r="F16" s="7" t="inlineStr"/>
    </row>
    <row r="17">
      <c r="A17" s="7" t="inlineStr">
        <is>
          <t>D1</t>
        </is>
      </c>
      <c r="B17" s="7">
        <f>COUNTIF('01 Submissions'!E:E,A17)</f>
        <v/>
      </c>
      <c r="C17" s="7">
        <f>SUMIF('01 Submissions'!E:E,A17,'01 Submissions'!L:L)</f>
        <v/>
      </c>
      <c r="D17" s="7">
        <f>SUMIF('01 Submissions'!E:E,A17,'01 Submissions'!P:P)</f>
        <v/>
      </c>
      <c r="E17" s="7">
        <f>IF(B17&gt;0,C17/B17,"")</f>
        <v/>
      </c>
      <c r="F17" s="7" t="inlineStr"/>
    </row>
    <row r="18">
      <c r="A18" s="7" t="inlineStr">
        <is>
          <t>D2</t>
        </is>
      </c>
      <c r="B18" s="7">
        <f>COUNTIF('01 Submissions'!E:E,A18)</f>
        <v/>
      </c>
      <c r="C18" s="7">
        <f>SUMIF('01 Submissions'!E:E,A18,'01 Submissions'!L:L)</f>
        <v/>
      </c>
      <c r="D18" s="7">
        <f>SUMIF('01 Submissions'!E:E,A18,'01 Submissions'!P:P)</f>
        <v/>
      </c>
      <c r="E18" s="7">
        <f>IF(B18&gt;0,C18/B18,"")</f>
        <v/>
      </c>
      <c r="F18" s="7" t="inlineStr"/>
    </row>
    <row r="19">
      <c r="A19" s="7" t="inlineStr">
        <is>
          <t>D3</t>
        </is>
      </c>
      <c r="B19" s="7">
        <f>COUNTIF('01 Submissions'!E:E,A19)</f>
        <v/>
      </c>
      <c r="C19" s="7">
        <f>SUMIF('01 Submissions'!E:E,A19,'01 Submissions'!L:L)</f>
        <v/>
      </c>
      <c r="D19" s="7">
        <f>SUMIF('01 Submissions'!E:E,A19,'01 Submissions'!P:P)</f>
        <v/>
      </c>
      <c r="E19" s="7">
        <f>IF(B19&gt;0,C19/B19,"")</f>
        <v/>
      </c>
      <c r="F19" s="7" t="inlineStr"/>
    </row>
    <row r="20">
      <c r="A20" s="7" t="inlineStr">
        <is>
          <t>D4</t>
        </is>
      </c>
      <c r="B20" s="7">
        <f>COUNTIF('01 Submissions'!E:E,A20)</f>
        <v/>
      </c>
      <c r="C20" s="7">
        <f>SUMIF('01 Submissions'!E:E,A20,'01 Submissions'!L:L)</f>
        <v/>
      </c>
      <c r="D20" s="7">
        <f>SUMIF('01 Submissions'!E:E,A20,'01 Submissions'!P:P)</f>
        <v/>
      </c>
      <c r="E20" s="7">
        <f>IF(B20&gt;0,C20/B20,"")</f>
        <v/>
      </c>
      <c r="F20" s="7" t="inlineStr"/>
    </row>
    <row r="21">
      <c r="A21" s="7" t="inlineStr">
        <is>
          <t>D5</t>
        </is>
      </c>
      <c r="B21" s="7">
        <f>COUNTIF('01 Submissions'!E:E,A21)</f>
        <v/>
      </c>
      <c r="C21" s="7">
        <f>SUMIF('01 Submissions'!E:E,A21,'01 Submissions'!L:L)</f>
        <v/>
      </c>
      <c r="D21" s="7">
        <f>SUMIF('01 Submissions'!E:E,A21,'01 Submissions'!P:P)</f>
        <v/>
      </c>
      <c r="E21" s="7">
        <f>IF(B21&gt;0,C21/B21,"")</f>
        <v/>
      </c>
      <c r="F21" s="7" t="inlineStr"/>
    </row>
    <row r="22">
      <c r="A22" s="7" t="inlineStr">
        <is>
          <t>E1</t>
        </is>
      </c>
      <c r="B22" s="7">
        <f>COUNTIF('01 Submissions'!E:E,A22)</f>
        <v/>
      </c>
      <c r="C22" s="7">
        <f>SUMIF('01 Submissions'!E:E,A22,'01 Submissions'!L:L)</f>
        <v/>
      </c>
      <c r="D22" s="7">
        <f>SUMIF('01 Submissions'!E:E,A22,'01 Submissions'!P:P)</f>
        <v/>
      </c>
      <c r="E22" s="7">
        <f>IF(B22&gt;0,C22/B22,"")</f>
        <v/>
      </c>
      <c r="F22" s="7" t="inlineStr"/>
    </row>
    <row r="23">
      <c r="A23" s="7" t="inlineStr">
        <is>
          <t>E2</t>
        </is>
      </c>
      <c r="B23" s="7">
        <f>COUNTIF('01 Submissions'!E:E,A23)</f>
        <v/>
      </c>
      <c r="C23" s="7">
        <f>SUMIF('01 Submissions'!E:E,A23,'01 Submissions'!L:L)</f>
        <v/>
      </c>
      <c r="D23" s="7">
        <f>SUMIF('01 Submissions'!E:E,A23,'01 Submissions'!P:P)</f>
        <v/>
      </c>
      <c r="E23" s="7">
        <f>IF(B23&gt;0,C23/B23,"")</f>
        <v/>
      </c>
      <c r="F23" s="7" t="inlineStr"/>
    </row>
    <row r="24">
      <c r="A24" s="7" t="inlineStr">
        <is>
          <t>E3</t>
        </is>
      </c>
      <c r="B24" s="7">
        <f>COUNTIF('01 Submissions'!E:E,A24)</f>
        <v/>
      </c>
      <c r="C24" s="7">
        <f>SUMIF('01 Submissions'!E:E,A24,'01 Submissions'!L:L)</f>
        <v/>
      </c>
      <c r="D24" s="7">
        <f>SUMIF('01 Submissions'!E:E,A24,'01 Submissions'!P:P)</f>
        <v/>
      </c>
      <c r="E24" s="7">
        <f>IF(B24&gt;0,C24/B24,"")</f>
        <v/>
      </c>
      <c r="F24" s="7" t="inlineStr"/>
    </row>
    <row r="25">
      <c r="A25" s="7" t="inlineStr">
        <is>
          <t>E4</t>
        </is>
      </c>
      <c r="B25" s="7">
        <f>COUNTIF('01 Submissions'!E:E,A25)</f>
        <v/>
      </c>
      <c r="C25" s="7">
        <f>SUMIF('01 Submissions'!E:E,A25,'01 Submissions'!L:L)</f>
        <v/>
      </c>
      <c r="D25" s="7">
        <f>SUMIF('01 Submissions'!E:E,A25,'01 Submissions'!P:P)</f>
        <v/>
      </c>
      <c r="E25" s="7">
        <f>IF(B25&gt;0,C25/B25,"")</f>
        <v/>
      </c>
      <c r="F25" s="7" t="inlineStr"/>
    </row>
    <row r="26">
      <c r="A26" s="7" t="inlineStr">
        <is>
          <t>E5</t>
        </is>
      </c>
      <c r="B26" s="7">
        <f>COUNTIF('01 Submissions'!E:E,A26)</f>
        <v/>
      </c>
      <c r="C26" s="7">
        <f>SUMIF('01 Submissions'!E:E,A26,'01 Submissions'!L:L)</f>
        <v/>
      </c>
      <c r="D26" s="7">
        <f>SUMIF('01 Submissions'!E:E,A26,'01 Submissions'!P:P)</f>
        <v/>
      </c>
      <c r="E26" s="7">
        <f>IF(B26&gt;0,C26/B26,"")</f>
        <v/>
      </c>
      <c r="F26" s="7" t="inlineStr"/>
    </row>
    <row r="27">
      <c r="A27" s="7" t="inlineStr">
        <is>
          <t>F1</t>
        </is>
      </c>
      <c r="B27" s="7">
        <f>COUNTIF('01 Submissions'!E:E,A27)</f>
        <v/>
      </c>
      <c r="C27" s="7">
        <f>SUMIF('01 Submissions'!E:E,A27,'01 Submissions'!L:L)</f>
        <v/>
      </c>
      <c r="D27" s="7">
        <f>SUMIF('01 Submissions'!E:E,A27,'01 Submissions'!P:P)</f>
        <v/>
      </c>
      <c r="E27" s="7">
        <f>IF(B27&gt;0,C27/B27,"")</f>
        <v/>
      </c>
      <c r="F27" s="7" t="inlineStr"/>
    </row>
    <row r="28">
      <c r="A28" s="7" t="inlineStr">
        <is>
          <t>F2</t>
        </is>
      </c>
      <c r="B28" s="7">
        <f>COUNTIF('01 Submissions'!E:E,A28)</f>
        <v/>
      </c>
      <c r="C28" s="7">
        <f>SUMIF('01 Submissions'!E:E,A28,'01 Submissions'!L:L)</f>
        <v/>
      </c>
      <c r="D28" s="7">
        <f>SUMIF('01 Submissions'!E:E,A28,'01 Submissions'!P:P)</f>
        <v/>
      </c>
      <c r="E28" s="7">
        <f>IF(B28&gt;0,C28/B28,"")</f>
        <v/>
      </c>
      <c r="F28" s="7" t="inlineStr"/>
    </row>
    <row r="29">
      <c r="A29" s="7" t="inlineStr">
        <is>
          <t>F3</t>
        </is>
      </c>
      <c r="B29" s="7">
        <f>COUNTIF('01 Submissions'!E:E,A29)</f>
        <v/>
      </c>
      <c r="C29" s="7">
        <f>SUMIF('01 Submissions'!E:E,A29,'01 Submissions'!L:L)</f>
        <v/>
      </c>
      <c r="D29" s="7">
        <f>SUMIF('01 Submissions'!E:E,A29,'01 Submissions'!P:P)</f>
        <v/>
      </c>
      <c r="E29" s="7">
        <f>IF(B29&gt;0,C29/B29,"")</f>
        <v/>
      </c>
      <c r="F29" s="7" t="inlineStr"/>
    </row>
    <row r="30">
      <c r="A30" s="7" t="inlineStr">
        <is>
          <t>F4</t>
        </is>
      </c>
      <c r="B30" s="7">
        <f>COUNTIF('01 Submissions'!E:E,A30)</f>
        <v/>
      </c>
      <c r="C30" s="7">
        <f>SUMIF('01 Submissions'!E:E,A30,'01 Submissions'!L:L)</f>
        <v/>
      </c>
      <c r="D30" s="7">
        <f>SUMIF('01 Submissions'!E:E,A30,'01 Submissions'!P:P)</f>
        <v/>
      </c>
      <c r="E30" s="7">
        <f>IF(B30&gt;0,C30/B30,"")</f>
        <v/>
      </c>
      <c r="F30" s="7" t="inlineStr"/>
    </row>
    <row r="31">
      <c r="A31" s="7" t="inlineStr">
        <is>
          <t>F5</t>
        </is>
      </c>
      <c r="B31" s="7">
        <f>COUNTIF('01 Submissions'!E:E,A31)</f>
        <v/>
      </c>
      <c r="C31" s="7">
        <f>SUMIF('01 Submissions'!E:E,A31,'01 Submissions'!L:L)</f>
        <v/>
      </c>
      <c r="D31" s="7">
        <f>SUMIF('01 Submissions'!E:E,A31,'01 Submissions'!P:P)</f>
        <v/>
      </c>
      <c r="E31" s="7">
        <f>IF(B31&gt;0,C31/B31,"")</f>
        <v/>
      </c>
      <c r="F31" s="7" t="inlineStr"/>
    </row>
    <row r="32">
      <c r="A32" s="7" t="inlineStr">
        <is>
          <t>G1</t>
        </is>
      </c>
      <c r="B32" s="7">
        <f>COUNTIF('01 Submissions'!E:E,A32)</f>
        <v/>
      </c>
      <c r="C32" s="7">
        <f>SUMIF('01 Submissions'!E:E,A32,'01 Submissions'!L:L)</f>
        <v/>
      </c>
      <c r="D32" s="7">
        <f>SUMIF('01 Submissions'!E:E,A32,'01 Submissions'!P:P)</f>
        <v/>
      </c>
      <c r="E32" s="7">
        <f>IF(B32&gt;0,C32/B32,"")</f>
        <v/>
      </c>
      <c r="F32" s="7" t="inlineStr"/>
    </row>
    <row r="33">
      <c r="A33" s="7" t="inlineStr">
        <is>
          <t>G2</t>
        </is>
      </c>
      <c r="B33" s="7">
        <f>COUNTIF('01 Submissions'!E:E,A33)</f>
        <v/>
      </c>
      <c r="C33" s="7">
        <f>SUMIF('01 Submissions'!E:E,A33,'01 Submissions'!L:L)</f>
        <v/>
      </c>
      <c r="D33" s="7">
        <f>SUMIF('01 Submissions'!E:E,A33,'01 Submissions'!P:P)</f>
        <v/>
      </c>
      <c r="E33" s="7">
        <f>IF(B33&gt;0,C33/B33,"")</f>
        <v/>
      </c>
      <c r="F33" s="7" t="inlineStr"/>
    </row>
    <row r="34">
      <c r="A34" s="7" t="inlineStr">
        <is>
          <t>G3</t>
        </is>
      </c>
      <c r="B34" s="7">
        <f>COUNTIF('01 Submissions'!E:E,A34)</f>
        <v/>
      </c>
      <c r="C34" s="7">
        <f>SUMIF('01 Submissions'!E:E,A34,'01 Submissions'!L:L)</f>
        <v/>
      </c>
      <c r="D34" s="7">
        <f>SUMIF('01 Submissions'!E:E,A34,'01 Submissions'!P:P)</f>
        <v/>
      </c>
      <c r="E34" s="7">
        <f>IF(B34&gt;0,C34/B34,"")</f>
        <v/>
      </c>
      <c r="F34" s="7" t="inlineStr"/>
    </row>
    <row r="35">
      <c r="A35" s="7" t="inlineStr">
        <is>
          <t>G4</t>
        </is>
      </c>
      <c r="B35" s="7">
        <f>COUNTIF('01 Submissions'!E:E,A35)</f>
        <v/>
      </c>
      <c r="C35" s="7">
        <f>SUMIF('01 Submissions'!E:E,A35,'01 Submissions'!L:L)</f>
        <v/>
      </c>
      <c r="D35" s="7">
        <f>SUMIF('01 Submissions'!E:E,A35,'01 Submissions'!P:P)</f>
        <v/>
      </c>
      <c r="E35" s="7">
        <f>IF(B35&gt;0,C35/B35,"")</f>
        <v/>
      </c>
      <c r="F35" s="7" t="inlineStr"/>
    </row>
    <row r="36">
      <c r="A36" s="7" t="inlineStr">
        <is>
          <t>G5</t>
        </is>
      </c>
      <c r="B36" s="7">
        <f>COUNTIF('01 Submissions'!E:E,A36)</f>
        <v/>
      </c>
      <c r="C36" s="7">
        <f>SUMIF('01 Submissions'!E:E,A36,'01 Submissions'!L:L)</f>
        <v/>
      </c>
      <c r="D36" s="7">
        <f>SUMIF('01 Submissions'!E:E,A36,'01 Submissions'!P:P)</f>
        <v/>
      </c>
      <c r="E36" s="7">
        <f>IF(B36&gt;0,C36/B36,"")</f>
        <v/>
      </c>
      <c r="F36" s="7" t="inlineStr"/>
    </row>
    <row r="37">
      <c r="A37" s="7" t="inlineStr">
        <is>
          <t>H1</t>
        </is>
      </c>
      <c r="B37" s="7">
        <f>COUNTIF('01 Submissions'!E:E,A37)</f>
        <v/>
      </c>
      <c r="C37" s="7">
        <f>SUMIF('01 Submissions'!E:E,A37,'01 Submissions'!L:L)</f>
        <v/>
      </c>
      <c r="D37" s="7">
        <f>SUMIF('01 Submissions'!E:E,A37,'01 Submissions'!P:P)</f>
        <v/>
      </c>
      <c r="E37" s="7">
        <f>IF(B37&gt;0,C37/B37,"")</f>
        <v/>
      </c>
      <c r="F37" s="7" t="inlineStr"/>
    </row>
    <row r="38">
      <c r="A38" s="7" t="inlineStr">
        <is>
          <t>H2</t>
        </is>
      </c>
      <c r="B38" s="7">
        <f>COUNTIF('01 Submissions'!E:E,A38)</f>
        <v/>
      </c>
      <c r="C38" s="7">
        <f>SUMIF('01 Submissions'!E:E,A38,'01 Submissions'!L:L)</f>
        <v/>
      </c>
      <c r="D38" s="7">
        <f>SUMIF('01 Submissions'!E:E,A38,'01 Submissions'!P:P)</f>
        <v/>
      </c>
      <c r="E38" s="7">
        <f>IF(B38&gt;0,C38/B38,"")</f>
        <v/>
      </c>
      <c r="F38" s="7" t="inlineStr"/>
    </row>
    <row r="39">
      <c r="A39" s="7" t="inlineStr">
        <is>
          <t>H3</t>
        </is>
      </c>
      <c r="B39" s="7">
        <f>COUNTIF('01 Submissions'!E:E,A39)</f>
        <v/>
      </c>
      <c r="C39" s="7">
        <f>SUMIF('01 Submissions'!E:E,A39,'01 Submissions'!L:L)</f>
        <v/>
      </c>
      <c r="D39" s="7">
        <f>SUMIF('01 Submissions'!E:E,A39,'01 Submissions'!P:P)</f>
        <v/>
      </c>
      <c r="E39" s="7">
        <f>IF(B39&gt;0,C39/B39,"")</f>
        <v/>
      </c>
      <c r="F39" s="7" t="inlineStr"/>
    </row>
    <row r="40">
      <c r="A40" s="7" t="inlineStr">
        <is>
          <t>H4</t>
        </is>
      </c>
      <c r="B40" s="7">
        <f>COUNTIF('01 Submissions'!E:E,A40)</f>
        <v/>
      </c>
      <c r="C40" s="7">
        <f>SUMIF('01 Submissions'!E:E,A40,'01 Submissions'!L:L)</f>
        <v/>
      </c>
      <c r="D40" s="7">
        <f>SUMIF('01 Submissions'!E:E,A40,'01 Submissions'!P:P)</f>
        <v/>
      </c>
      <c r="E40" s="7">
        <f>IF(B40&gt;0,C40/B40,"")</f>
        <v/>
      </c>
      <c r="F40" s="7" t="inlineStr"/>
    </row>
    <row r="41">
      <c r="A41" s="7" t="inlineStr">
        <is>
          <t>H5</t>
        </is>
      </c>
      <c r="B41" s="7">
        <f>COUNTIF('01 Submissions'!E:E,A41)</f>
        <v/>
      </c>
      <c r="C41" s="7">
        <f>SUMIF('01 Submissions'!E:E,A41,'01 Submissions'!L:L)</f>
        <v/>
      </c>
      <c r="D41" s="7">
        <f>SUMIF('01 Submissions'!E:E,A41,'01 Submissions'!P:P)</f>
        <v/>
      </c>
      <c r="E41" s="7">
        <f>IF(B41&gt;0,C41/B41,"")</f>
        <v/>
      </c>
      <c r="F4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4CF1"/>
    <outlinePr summaryBelow="1" summaryRight="1"/>
    <pageSetUpPr/>
  </sheetPr>
  <dimension ref="A1:H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4" customWidth="1" min="4" max="4"/>
    <col width="12" customWidth="1" min="5" max="5"/>
    <col width="16" customWidth="1" min="6" max="6"/>
    <col width="22" customWidth="1" min="7" max="7"/>
    <col width="30" customWidth="1" min="8" max="8"/>
  </cols>
  <sheetData>
    <row r="1" ht="32" customHeight="1">
      <c r="A1" s="5" t="inlineStr">
        <is>
          <t>Letter</t>
        </is>
      </c>
      <c r="B1" s="5" t="inlineStr">
        <is>
          <t>Angle</t>
        </is>
      </c>
      <c r="C1" s="5" t="inlineStr">
        <is>
          <t># videos</t>
        </is>
      </c>
      <c r="D1" s="5" t="inlineStr">
        <is>
          <t>Total views</t>
        </is>
      </c>
      <c r="E1" s="5" t="inlineStr">
        <is>
          <t>Payout ($)</t>
        </is>
      </c>
      <c r="F1" s="5" t="inlineStr">
        <is>
          <t>Avg views / video</t>
        </is>
      </c>
      <c r="G1" s="5" t="inlineStr">
        <is>
          <t>Installs (from App Store / Amplitude)</t>
        </is>
      </c>
      <c r="H1" s="5" t="inlineStr">
        <is>
          <t>Verdict</t>
        </is>
      </c>
    </row>
    <row r="2">
      <c r="A2" s="7" t="inlineStr">
        <is>
          <t>A</t>
        </is>
      </c>
      <c r="B2" s="7" t="inlineStr">
        <is>
          <t>Cortisol face &amp; belly</t>
        </is>
      </c>
      <c r="C2" s="7">
        <f>COUNTIF('01 Submissions'!E:E,A2&amp;"*")</f>
        <v/>
      </c>
      <c r="D2" s="7">
        <f>SUMIF('01 Submissions'!E:E,A2&amp;"*",'01 Submissions'!L:L)</f>
        <v/>
      </c>
      <c r="E2" s="7">
        <f>SUMIF('01 Submissions'!E:E,A2&amp;"*",'01 Submissions'!P:P)</f>
        <v/>
      </c>
      <c r="F2" s="7">
        <f>IF(C2&gt;0,D2/C2,"")</f>
        <v/>
      </c>
      <c r="G2" s="7" t="inlineStr"/>
      <c r="H2" s="7" t="inlineStr"/>
    </row>
    <row r="3">
      <c r="A3" s="7" t="inlineStr">
        <is>
          <t>B</t>
        </is>
      </c>
      <c r="B3" s="7" t="inlineStr">
        <is>
          <t>My therapist showed me</t>
        </is>
      </c>
      <c r="C3" s="7">
        <f>COUNTIF('01 Submissions'!E:E,A3&amp;"*")</f>
        <v/>
      </c>
      <c r="D3" s="7">
        <f>SUMIF('01 Submissions'!E:E,A3&amp;"*",'01 Submissions'!L:L)</f>
        <v/>
      </c>
      <c r="E3" s="7">
        <f>SUMIF('01 Submissions'!E:E,A3&amp;"*",'01 Submissions'!P:P)</f>
        <v/>
      </c>
      <c r="F3" s="7">
        <f>IF(C3&gt;0,D3/C3,"")</f>
        <v/>
      </c>
      <c r="G3" s="7" t="inlineStr"/>
      <c r="H3" s="7" t="inlineStr"/>
    </row>
    <row r="4">
      <c r="A4" s="7" t="inlineStr">
        <is>
          <t>C</t>
        </is>
      </c>
      <c r="B4" s="7" t="inlineStr">
        <is>
          <t>ChatGPT knows me too well</t>
        </is>
      </c>
      <c r="C4" s="7">
        <f>COUNTIF('01 Submissions'!E:E,A4&amp;"*")</f>
        <v/>
      </c>
      <c r="D4" s="7">
        <f>SUMIF('01 Submissions'!E:E,A4&amp;"*",'01 Submissions'!L:L)</f>
        <v/>
      </c>
      <c r="E4" s="7">
        <f>SUMIF('01 Submissions'!E:E,A4&amp;"*",'01 Submissions'!P:P)</f>
        <v/>
      </c>
      <c r="F4" s="7">
        <f>IF(C4&gt;0,D4/C4,"")</f>
        <v/>
      </c>
      <c r="G4" s="7" t="inlineStr"/>
      <c r="H4" s="7" t="inlineStr"/>
    </row>
    <row r="5">
      <c r="A5" s="7" t="inlineStr">
        <is>
          <t>D</t>
        </is>
      </c>
      <c r="B5" s="7" t="inlineStr">
        <is>
          <t>The one who carries everything</t>
        </is>
      </c>
      <c r="C5" s="7">
        <f>COUNTIF('01 Submissions'!E:E,A5&amp;"*")</f>
        <v/>
      </c>
      <c r="D5" s="7">
        <f>SUMIF('01 Submissions'!E:E,A5&amp;"*",'01 Submissions'!L:L)</f>
        <v/>
      </c>
      <c r="E5" s="7">
        <f>SUMIF('01 Submissions'!E:E,A5&amp;"*",'01 Submissions'!P:P)</f>
        <v/>
      </c>
      <c r="F5" s="7">
        <f>IF(C5&gt;0,D5/C5,"")</f>
        <v/>
      </c>
      <c r="G5" s="7" t="inlineStr"/>
      <c r="H5" s="7" t="inlineStr"/>
    </row>
    <row r="6">
      <c r="A6" s="7" t="inlineStr">
        <is>
          <t>E</t>
        </is>
      </c>
      <c r="B6" s="7" t="inlineStr">
        <is>
          <t>3am brain</t>
        </is>
      </c>
      <c r="C6" s="7">
        <f>COUNTIF('01 Submissions'!E:E,A6&amp;"*")</f>
        <v/>
      </c>
      <c r="D6" s="7">
        <f>SUMIF('01 Submissions'!E:E,A6&amp;"*",'01 Submissions'!L:L)</f>
        <v/>
      </c>
      <c r="E6" s="7">
        <f>SUMIF('01 Submissions'!E:E,A6&amp;"*",'01 Submissions'!P:P)</f>
        <v/>
      </c>
      <c r="F6" s="7">
        <f>IF(C6&gt;0,D6/C6,"")</f>
        <v/>
      </c>
      <c r="G6" s="7" t="inlineStr"/>
      <c r="H6" s="7" t="inlineStr"/>
    </row>
    <row r="7">
      <c r="A7" s="7" t="inlineStr">
        <is>
          <t>F</t>
        </is>
      </c>
      <c r="B7" s="7" t="inlineStr">
        <is>
          <t>The big moments</t>
        </is>
      </c>
      <c r="C7" s="7">
        <f>COUNTIF('01 Submissions'!E:E,A7&amp;"*")</f>
        <v/>
      </c>
      <c r="D7" s="7">
        <f>SUMIF('01 Submissions'!E:E,A7&amp;"*",'01 Submissions'!L:L)</f>
        <v/>
      </c>
      <c r="E7" s="7">
        <f>SUMIF('01 Submissions'!E:E,A7&amp;"*",'01 Submissions'!P:P)</f>
        <v/>
      </c>
      <c r="F7" s="7">
        <f>IF(C7&gt;0,D7/C7,"")</f>
        <v/>
      </c>
      <c r="G7" s="7" t="inlineStr"/>
      <c r="H7" s="7" t="inlineStr"/>
    </row>
    <row r="8">
      <c r="A8" s="7" t="inlineStr">
        <is>
          <t>G</t>
        </is>
      </c>
      <c r="B8" s="7" t="inlineStr">
        <is>
          <t>High-functioning anxiety</t>
        </is>
      </c>
      <c r="C8" s="7">
        <f>COUNTIF('01 Submissions'!E:E,A8&amp;"*")</f>
        <v/>
      </c>
      <c r="D8" s="7">
        <f>SUMIF('01 Submissions'!E:E,A8&amp;"*",'01 Submissions'!L:L)</f>
        <v/>
      </c>
      <c r="E8" s="7">
        <f>SUMIF('01 Submissions'!E:E,A8&amp;"*",'01 Submissions'!P:P)</f>
        <v/>
      </c>
      <c r="F8" s="7">
        <f>IF(C8&gt;0,D8/C8,"")</f>
        <v/>
      </c>
      <c r="G8" s="7" t="inlineStr"/>
      <c r="H8" s="7" t="inlineStr"/>
    </row>
    <row r="9">
      <c r="A9" s="7" t="inlineStr">
        <is>
          <t>H</t>
        </is>
      </c>
      <c r="B9" s="7" t="inlineStr">
        <is>
          <t>66 days, documented</t>
        </is>
      </c>
      <c r="C9" s="7">
        <f>COUNTIF('01 Submissions'!E:E,A9&amp;"*")</f>
        <v/>
      </c>
      <c r="D9" s="7">
        <f>SUMIF('01 Submissions'!E:E,A9&amp;"*",'01 Submissions'!L:L)</f>
        <v/>
      </c>
      <c r="E9" s="7">
        <f>SUMIF('01 Submissions'!E:E,A9&amp;"*",'01 Submissions'!P:P)</f>
        <v/>
      </c>
      <c r="F9" s="7">
        <f>IF(C9&gt;0,D9/C9,"")</f>
        <v/>
      </c>
      <c r="G9" s="7" t="inlineStr"/>
      <c r="H9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4CF1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 ht="32" customHeight="1">
      <c r="A1" s="5" t="inlineStr">
        <is>
          <t>Item</t>
        </is>
      </c>
      <c r="B1" s="5" t="inlineStr">
        <is>
          <t>Value</t>
        </is>
      </c>
      <c r="C1" s="5" t="inlineStr">
        <is>
          <t>Note</t>
        </is>
      </c>
    </row>
    <row r="2">
      <c r="A2" s="7" t="inlineStr">
        <is>
          <t>Campaign budget ($)</t>
        </is>
      </c>
      <c r="B2" s="7" t="n">
        <v>2500</v>
      </c>
      <c r="C2" s="7" t="inlineStr">
        <is>
          <t>Test budget</t>
        </is>
      </c>
    </row>
    <row r="3">
      <c r="A3" s="7" t="inlineStr">
        <is>
          <t>CPM ($)</t>
        </is>
      </c>
      <c r="B3" s="7" t="n">
        <v>1</v>
      </c>
      <c r="C3" s="7" t="inlineStr">
        <is>
          <t>Rate per 1,000 views</t>
        </is>
      </c>
    </row>
    <row r="4">
      <c r="A4" s="7" t="inlineStr">
        <is>
          <t>Views bought by the budget</t>
        </is>
      </c>
      <c r="B4" s="7">
        <f>B2/B3*1000</f>
        <v/>
      </c>
      <c r="C4" s="7" t="inlineStr"/>
    </row>
    <row r="5">
      <c r="A5" s="7" t="inlineStr">
        <is>
          <t>Installs per 1,000 views (estimate)</t>
        </is>
      </c>
      <c r="B5" s="7" t="n">
        <v>1.5</v>
      </c>
      <c r="C5" s="7" t="inlineStr">
        <is>
          <t>Measure it: start with 1–3 / 1,000</t>
        </is>
      </c>
    </row>
    <row r="6">
      <c r="A6" s="7" t="inlineStr">
        <is>
          <t>Expected installs</t>
        </is>
      </c>
      <c r="B6" s="7">
        <f>B4/1000*B5</f>
        <v/>
      </c>
      <c r="C6" s="7" t="inlineStr"/>
    </row>
    <row r="7">
      <c r="A7" s="7" t="inlineStr">
        <is>
          <t>Cost per install ($)</t>
        </is>
      </c>
      <c r="B7" s="7">
        <f>IF(B6&gt;0,B2/B6,"")</f>
        <v/>
      </c>
      <c r="C7" s="7" t="inlineStr">
        <is>
          <t>Compare with paid acquisition</t>
        </is>
      </c>
    </row>
    <row r="8">
      <c r="A8" s="7" t="inlineStr">
        <is>
          <t>Install → trial rate</t>
        </is>
      </c>
      <c r="B8" s="7" t="n">
        <v>0.15</v>
      </c>
      <c r="C8" s="7" t="inlineStr">
        <is>
          <t>From your Amplitude funnel</t>
        </is>
      </c>
    </row>
    <row r="9">
      <c r="A9" s="7" t="inlineStr">
        <is>
          <t>Cost per trial ($)</t>
        </is>
      </c>
      <c r="B9" s="7">
        <f>IF(B6*B8&gt;0,B2/(B6*B8),"")</f>
        <v/>
      </c>
      <c r="C9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C4CF1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26" customWidth="1" min="3" max="3"/>
  </cols>
  <sheetData>
    <row r="1" ht="32" customHeight="1">
      <c r="A1" s="5" t="inlineStr">
        <is>
          <t>Folder</t>
        </is>
      </c>
      <c r="B1" s="5" t="inlineStr">
        <is>
          <t>Content</t>
        </is>
      </c>
      <c r="C1" s="5" t="inlineStr">
        <is>
          <t>Access</t>
        </is>
      </c>
    </row>
    <row r="2">
      <c r="A2" s="7" t="inlineStr">
        <is>
          <t>📁 CortiFree Creators/ (link in the campaign)</t>
        </is>
      </c>
      <c r="B2" s="7" t="inlineStr">
        <is>
          <t>Root</t>
        </is>
      </c>
      <c r="C2" s="7" t="inlineStr">
        <is>
          <t>Anyone with the link: viewer</t>
        </is>
      </c>
    </row>
    <row r="3">
      <c r="A3" s="7" t="inlineStr">
        <is>
          <t xml:space="preserve">   📄 Creator Kit (Google Sheet)</t>
        </is>
      </c>
      <c r="B3" s="7" t="inlineStr">
        <is>
          <t>The public kit, imported into Sheets</t>
        </is>
      </c>
      <c r="C3" s="7" t="inlineStr">
        <is>
          <t>Viewer</t>
        </is>
      </c>
    </row>
    <row r="4">
      <c r="A4" s="7" t="inlineStr">
        <is>
          <t xml:space="preserve">   📁 01_App_Recordings</t>
        </is>
      </c>
      <c r="B4" s="7" t="inlineStr">
        <is>
          <t>R01–R14 in 9:16, English UI, no text/music</t>
        </is>
      </c>
      <c r="C4" s="7" t="inlineStr">
        <is>
          <t>Viewer</t>
        </is>
      </c>
    </row>
    <row r="5">
      <c r="A5" s="7" t="inlineStr">
        <is>
          <t xml:space="preserve">   📁 02_Screenshots</t>
        </is>
      </c>
      <c r="B5" s="7" t="inlineStr">
        <is>
          <t>Quiz result, plan, Milo answers, import result, Health questionnaire</t>
        </is>
      </c>
      <c r="C5" s="7" t="inlineStr">
        <is>
          <t>Viewer</t>
        </is>
      </c>
    </row>
    <row r="6">
      <c r="A6" s="7" t="inlineStr">
        <is>
          <t xml:space="preserve">   📁 03_Brand</t>
        </is>
      </c>
      <c r="B6" s="7" t="inlineStr">
        <is>
          <t>Logo, Milo avatar PNG, app icon, App Store link</t>
        </is>
      </c>
      <c r="C6" s="7" t="inlineStr">
        <is>
          <t>Viewer</t>
        </is>
      </c>
    </row>
    <row r="7">
      <c r="A7" s="7" t="inlineStr">
        <is>
          <t xml:space="preserve">   📁 04_Examples</t>
        </is>
      </c>
      <c r="B7" s="7" t="inlineStr">
        <is>
          <t>1 example per angle (A–H), filmed by you or the first creators</t>
        </is>
      </c>
      <c r="C7" s="7" t="inlineStr">
        <is>
          <t>Viewer</t>
        </is>
      </c>
    </row>
    <row r="8">
      <c r="A8" s="7" t="inlineStr">
        <is>
          <t xml:space="preserve">   📁 05_Winners</t>
        </is>
      </c>
      <c r="B8" s="7" t="inlineStr">
        <is>
          <t>Top videos of the week, every Monday</t>
        </is>
      </c>
      <c r="C8" s="7" t="inlineStr">
        <is>
          <t>Viewer</t>
        </is>
      </c>
    </row>
    <row r="9">
      <c r="A9" s="7" t="inlineStr">
        <is>
          <t>📁 Ops (private)</t>
        </is>
      </c>
      <c r="B9" s="7" t="inlineStr">
        <is>
          <t>This file, Spark Ad codes, payout exports</t>
        </is>
      </c>
      <c r="C9" s="7" t="inlineStr">
        <is>
          <t>You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2026-10-08T17:49:07Z</dcterms:created>
  <dcterms:modified xmlns:dcterms="http://purl.org/dc/terms/" xmlns:xsi="http://www.w3.org/2001/XMLSchema-instance" xsi:type="dcterms:W3CDTF">2026-10-08T17:49:07Z</dcterms:modified>
</cp:coreProperties>
</file>